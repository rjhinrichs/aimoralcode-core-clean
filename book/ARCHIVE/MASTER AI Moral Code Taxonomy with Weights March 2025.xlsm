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filterPrivacy="1" codeName="ThisWorkbook" defaultThemeVersion="124226"/>
  <xr:revisionPtr revIDLastSave="0" documentId="8_{D7789A4A-673A-41D3-BB43-85DCEF7415FB}" xr6:coauthVersionLast="47" xr6:coauthVersionMax="47" xr10:uidLastSave="{00000000-0000-0000-0000-000000000000}"/>
  <bookViews>
    <workbookView xWindow="-108" yWindow="-108" windowWidth="23256" windowHeight="12456" activeTab="3" xr2:uid="{00000000-000D-0000-FFFF-FFFF00000000}"/>
  </bookViews>
  <sheets>
    <sheet name="Taxonomy" sheetId="4" r:id="rId1"/>
    <sheet name="Jobins Values" sheetId="12" r:id="rId2"/>
    <sheet name="Value Categories" sheetId="10" r:id="rId3"/>
    <sheet name="171 Docs" sheetId="9" r:id="rId4"/>
    <sheet name="Resources" sheetId="11" r:id="rId5"/>
    <sheet name="Stat Plan" sheetId="8" r:id="rId6"/>
    <sheet name="ESF" sheetId="7" r:id="rId7"/>
    <sheet name="AGI Issues" sheetId="5" r:id="rId8"/>
    <sheet name="Stats" sheetId="2" r:id="rId9"/>
  </sheets>
  <functionGroups builtInGroupCount="19"/>
  <definedNames>
    <definedName name="_xlnm._FilterDatabase" localSheetId="3" hidden="1">'171 Docs'!$A$1:$I$299</definedName>
    <definedName name="_xlnm._FilterDatabase" localSheetId="2" hidden="1">'Value Categories'!$A$1:$C$108</definedName>
    <definedName name="_xleta.AND" hidden="1" xlm="1">#NAME?</definedName>
    <definedName name="_xleta.SUM" hidden="1" xlm="1">#NAME?</definedName>
    <definedName name="_xlpm.countr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2" i="9" l="1"/>
  <c r="AN2" i="9"/>
  <c r="AM2" i="9"/>
  <c r="AL2" i="9"/>
  <c r="K4" i="9"/>
  <c r="AT2" i="9"/>
  <c r="AS2" i="9"/>
  <c r="AR2" i="9"/>
  <c r="AQ2" i="9"/>
  <c r="AP2" i="9"/>
  <c r="AI2" i="9"/>
  <c r="AJ2" i="9"/>
  <c r="R2" i="9"/>
  <c r="S2" i="9"/>
  <c r="T2" i="9"/>
  <c r="U2" i="9"/>
  <c r="V2" i="9"/>
  <c r="W2" i="9"/>
  <c r="X2" i="9"/>
  <c r="Y2" i="9"/>
  <c r="Z2" i="9"/>
  <c r="AA2" i="9"/>
  <c r="AB2" i="9"/>
  <c r="AC2" i="9"/>
  <c r="AD2" i="9"/>
  <c r="AE2" i="9"/>
  <c r="AF2" i="9"/>
  <c r="AG2" i="9"/>
  <c r="AH2" i="9"/>
  <c r="Q2" i="9"/>
  <c r="AW1" i="9" a="1"/>
  <c r="AW1" i="9" s="1"/>
  <c r="AW2" i="9" s="1"/>
  <c r="P136" i="9"/>
  <c r="P134" i="9"/>
  <c r="P133" i="9"/>
  <c r="P137" i="9"/>
  <c r="P52" i="9"/>
  <c r="P139" i="9"/>
  <c r="P80" i="9"/>
  <c r="P196" i="9"/>
  <c r="P63" i="9"/>
  <c r="P185" i="9"/>
  <c r="P138" i="9"/>
  <c r="P62" i="9"/>
  <c r="P94" i="9"/>
  <c r="P79" i="9"/>
  <c r="P47" i="9"/>
  <c r="P57" i="9"/>
  <c r="P186" i="9"/>
  <c r="P64" i="9"/>
  <c r="P68" i="9"/>
  <c r="I85" i="9"/>
  <c r="N4" i="9" l="1"/>
  <c r="L4" i="9"/>
  <c r="M4" i="9"/>
  <c r="BU2" i="9"/>
  <c r="CM2" i="9"/>
  <c r="BT2" i="9"/>
  <c r="CL2" i="9"/>
  <c r="BG2" i="9"/>
  <c r="AY2" i="9"/>
  <c r="BR2" i="9"/>
  <c r="CJ2" i="9"/>
  <c r="CB2" i="9"/>
  <c r="BB2" i="9"/>
  <c r="CE2" i="9"/>
  <c r="BI2" i="9"/>
  <c r="BL2" i="9"/>
  <c r="CD2" i="9"/>
  <c r="BF2" i="9"/>
  <c r="AX2" i="9"/>
  <c r="BQ2" i="9"/>
  <c r="CI2" i="9"/>
  <c r="CA2" i="9"/>
  <c r="BD2" i="9"/>
  <c r="BW2" i="9"/>
  <c r="BO2" i="9"/>
  <c r="CG2" i="9"/>
  <c r="BY2" i="9"/>
  <c r="BE2" i="9"/>
  <c r="BX2" i="9"/>
  <c r="BP2" i="9"/>
  <c r="CH2" i="9"/>
  <c r="BZ2" i="9"/>
  <c r="BC2" i="9"/>
  <c r="BV2" i="9"/>
  <c r="BN2" i="9"/>
  <c r="CF2" i="9"/>
  <c r="CN2" i="9"/>
  <c r="BJ2" i="9"/>
  <c r="BM2" i="9"/>
  <c r="BA2" i="9"/>
  <c r="BH2" i="9"/>
  <c r="AZ2" i="9"/>
  <c r="BS2" i="9"/>
  <c r="BK2" i="9"/>
  <c r="CC2" i="9"/>
  <c r="CK2" i="9"/>
  <c r="P76" i="9"/>
  <c r="AW292" i="9" a="1"/>
  <c r="P82" i="9"/>
  <c r="P182" i="9"/>
  <c r="P73" i="9"/>
  <c r="P87" i="9"/>
  <c r="P74" i="9"/>
  <c r="P75" i="9"/>
  <c r="P65" i="9"/>
  <c r="P66" i="9"/>
  <c r="P67" i="9"/>
  <c r="P69" i="9"/>
  <c r="P70" i="9"/>
  <c r="P207" i="9"/>
  <c r="P102" i="9"/>
  <c r="P81" i="9"/>
  <c r="P53" i="9"/>
  <c r="P55" i="9"/>
  <c r="P54" i="9"/>
  <c r="P142" i="9"/>
  <c r="P60" i="9"/>
  <c r="P204" i="9"/>
  <c r="P158" i="9"/>
  <c r="P113" i="9"/>
  <c r="P168" i="9"/>
  <c r="P48" i="9"/>
  <c r="P61" i="9"/>
  <c r="P49" i="9"/>
  <c r="P141" i="9"/>
  <c r="AW292"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23" authorId="0" shapeId="0" xr:uid="{D7B3CCD4-5E0F-4DDF-A584-462045F033B9}">
      <text>
        <r>
          <rPr>
            <b/>
            <sz val="9"/>
            <color indexed="81"/>
            <rFont val="Tahoma"/>
            <family val="2"/>
          </rPr>
          <t>Author:</t>
        </r>
        <r>
          <rPr>
            <sz val="9"/>
            <color indexed="81"/>
            <rFont val="Tahoma"/>
            <family val="2"/>
          </rPr>
          <t xml:space="preserve">
Cultural Alignment is ideal for the Normative Category, where the goal is to articulate aspirational values that guide decision-making.</t>
        </r>
      </text>
    </comment>
    <comment ref="C34" authorId="0" shapeId="0" xr:uid="{C8AD1C8A-073D-4F85-ABD1-9A96011C868A}">
      <text>
        <r>
          <rPr>
            <b/>
            <sz val="9"/>
            <color indexed="81"/>
            <rFont val="Tahoma"/>
            <family val="2"/>
          </rPr>
          <t>Author:</t>
        </r>
        <r>
          <rPr>
            <sz val="9"/>
            <color indexed="81"/>
            <rFont val="Tahoma"/>
            <family val="2"/>
          </rPr>
          <t xml:space="preserve">
Ethical Localization is better suited to the Regulatory Category, where the focus is on enforcing ethical principles within specific jurisdictions.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 authorId="0" shapeId="0" xr:uid="{EE11EC26-B40E-4917-93A3-75D2C59E9DBE}">
      <text>
        <r>
          <rPr>
            <b/>
            <sz val="9"/>
            <color indexed="81"/>
            <rFont val="Tahoma"/>
            <family val="2"/>
          </rPr>
          <t>Author:</t>
        </r>
        <r>
          <rPr>
            <sz val="9"/>
            <color indexed="81"/>
            <rFont val="Tahoma"/>
            <family val="2"/>
          </rPr>
          <t xml:space="preserve">
Government
Business/Private Sector
Academia/Research
NGO (Non-Governmental Organizations)
Civil Society
Labor/Workforce
International Organizations
Public Sector/State-Owned Enterprises
Regulatory Bodies
Government: Ensuring responsible and transparent use of AI in policymaking and public administration.
Business: Encouraging ethical AI in product design, customer service, and operational decision-making.
Academia/Research: Promoting human-centered and fair AI development within research.
NGO (Non-Governmental Organizations): Advocating for responsible AI that safeguards human rights and promotes environmental wellbeing.
Civil Society: Building trust by championing transparency, explainability, and fairness in AI applications.
Labor/Workforce: Ensuring AI technologies are reliable, safe, and protect workforce wellbeing.
International Organizations: Collaborating globally to set ethical AI standards that align with these principles.
Public Sector: Using AI to deliver equitable and inclusive public services while protecting individual privacy.
Regulatory Bodies: Crafting policies and guidelines to hold organizations accountable for ethical AI usage.</t>
        </r>
      </text>
    </comment>
    <comment ref="B3" authorId="0" shapeId="0" xr:uid="{305281C3-19D3-4257-896A-1A06A2A08F90}">
      <text>
        <r>
          <rPr>
            <b/>
            <sz val="9"/>
            <color indexed="81"/>
            <rFont val="Tahoma"/>
            <family val="2"/>
          </rPr>
          <t>Author:</t>
        </r>
        <r>
          <rPr>
            <sz val="9"/>
            <color indexed="81"/>
            <rFont val="Tahoma"/>
            <family val="2"/>
          </rPr>
          <t xml:space="preserve">
The EU AI Act (Risk-based regulation prioritizing fairness and transparency)
Singapore Model AI Governance Framework balances innovation and accountability
UNESCO's Recommendation on AI Ethics emphasizes human dignity, sustainability, and inclusivity</t>
        </r>
      </text>
    </comment>
    <comment ref="B4" authorId="0" shapeId="0" xr:uid="{FBCA1D27-B5D8-46F0-861F-EA71146D3CC3}">
      <text>
        <r>
          <rPr>
            <b/>
            <sz val="9"/>
            <color indexed="81"/>
            <rFont val="Tahoma"/>
            <family val="2"/>
          </rPr>
          <t>Author:</t>
        </r>
        <r>
          <rPr>
            <sz val="9"/>
            <color indexed="81"/>
            <rFont val="Tahoma"/>
            <family val="2"/>
          </rPr>
          <t xml:space="preserve">
The Asilomar AI Principles, established by the Future of Life Institute in January 2017, comprise 23 guidelines aimed at ensuring the ethical development and deployment of artificial intelligence. These principles emphasize the importance of aligning AI research with human values, promoting safety and transparency, and sharing the benefits of AI broadly. The comprehensive nature of these principles reflects a strong commitment to fostering beneficial intelligence that upholds human dignity and contributes to global well-being.</t>
        </r>
      </text>
    </comment>
    <comment ref="B5" authorId="0" shapeId="0" xr:uid="{EE984A95-4ABD-476F-8951-E27E5AAC5BD2}">
      <text>
        <r>
          <rPr>
            <b/>
            <sz val="9"/>
            <color indexed="81"/>
            <rFont val="Tahoma"/>
            <family val="2"/>
          </rPr>
          <t>Author:</t>
        </r>
        <r>
          <rPr>
            <sz val="9"/>
            <color indexed="81"/>
            <rFont val="Tahoma"/>
            <family val="2"/>
          </rPr>
          <t xml:space="preserve">
The IEEE Standards Association's "Ethically Aligned Design: A Vision for Prioritizing Human Well-being with Autonomous and Intelligent Systems" emphasizes a comprehensive framework for the ethical development of AI and autonomous systems. The document outlines principles such as inclusive growth, sustainable development, and the protection of human rights, aligning closely with the provided set.</t>
        </r>
      </text>
    </comment>
    <comment ref="B6" authorId="0" shapeId="0" xr:uid="{D163F1EA-248F-4CFF-8F2A-3695ED864EBE}">
      <text>
        <r>
          <rPr>
            <b/>
            <sz val="9"/>
            <color indexed="81"/>
            <rFont val="Tahoma"/>
            <family val="2"/>
          </rPr>
          <t>Author:</t>
        </r>
        <r>
          <rPr>
            <sz val="9"/>
            <color indexed="81"/>
            <rFont val="Tahoma"/>
            <family val="2"/>
          </rPr>
          <t xml:space="preserve">
The Montreal Declaration for a Responsible Development of Artificial Intelligence, issued by Université de Montréal in December 2018, outlines ten principles aimed at guiding the ethical development of AI. These principles include well-being, respect for autonomy, protection of privacy and intimacy, solidarity, democratic participation, equity, diversity and inclusion, prudence, responsibility, and sustainable development. These principles align closely with the provided set, indicating a strong match. ​
</t>
        </r>
      </text>
    </comment>
    <comment ref="B7" authorId="0" shapeId="0" xr:uid="{E5F1D5C9-9EDA-4C8E-89F0-FE74F9A2EC1B}">
      <text>
        <r>
          <rPr>
            <b/>
            <sz val="9"/>
            <color indexed="81"/>
            <rFont val="Tahoma"/>
            <family val="2"/>
          </rPr>
          <t>Author:</t>
        </r>
        <r>
          <rPr>
            <sz val="9"/>
            <color indexed="81"/>
            <rFont val="Tahoma"/>
            <family val="2"/>
          </rPr>
          <t xml:space="preserve">
The Partnership on AI (PAI), established on September 28, 2016, is a global multi-stakeholder nonprofit organization that brings together over 100 partner organizations from industry, civil society, and academia to explore and address the social implications of artificial intelligence (AI) technologies. PAI's tenets emphasize principles such as inclusive growth, sustainable development, and the well-being of society, aligning closely with the provided set. The organization is committed to open research and dialogue on the ethical, social, economic, and legal implications of AI, ensuring that AI technologies benefit and empower as many people as possible. ​</t>
        </r>
      </text>
    </comment>
    <comment ref="B8" authorId="0" shapeId="0" xr:uid="{A2F3F538-9566-468B-8C9D-8B3BC3040654}">
      <text>
        <r>
          <rPr>
            <b/>
            <sz val="9"/>
            <color indexed="81"/>
            <rFont val="Tahoma"/>
            <family val="2"/>
          </rPr>
          <t>Author:</t>
        </r>
        <r>
          <rPr>
            <sz val="9"/>
            <color indexed="81"/>
            <rFont val="Tahoma"/>
            <family val="2"/>
          </rPr>
          <t xml:space="preserve">
The European Group on Ethics in Science and New Technologies (EGE) issued the "Statement on Artificial Intelligence, Robotics, and 'Autonomous' Systems" on March 9, 2018. This document emphasizes the need for a collective, inclusive process of reflection and dialogue to develop a common ethical and legal framework for AI and related technologies. The statement proposes fundamental ethical principles based on EU values, including human dignity, autonomy, responsibility, justice, equality, non-discrimination, privacy, safety, transparency, accountability, democracy, and the rule of law. These principles align closely with the provided set, indicating a strong match.</t>
        </r>
      </text>
    </comment>
    <comment ref="B9" authorId="0" shapeId="0" xr:uid="{41A980B4-0A4B-4F61-BDFE-26E695DE6CE6}">
      <text>
        <r>
          <rPr>
            <b/>
            <sz val="9"/>
            <color indexed="81"/>
            <rFont val="Tahoma"/>
            <family val="2"/>
          </rPr>
          <t>Author:</t>
        </r>
        <r>
          <rPr>
            <sz val="9"/>
            <color indexed="81"/>
            <rFont val="Tahoma"/>
            <family val="2"/>
          </rPr>
          <t xml:space="preserve">
The European Group on Ethics in Science and New Technologies (EGE) issued the statement "Values for the Future: The Role of Ethics in European and Global Governance" on June 9, 2021. This document emphasizes the integration of ethics into governance, highlighting principles such as a human-centered approach, inclusive deliberation, and participatory governance. The statement underscores the importance of democratic principles, justice, solidarity, and the defense of democracy in addressing socio-economic injustices. These principles align closely with the provided set, indicating a strong match.</t>
        </r>
      </text>
    </comment>
    <comment ref="B10" authorId="0" shapeId="0" xr:uid="{7F1CBD07-F7AE-41D6-8435-707F11F4EF4A}">
      <text>
        <r>
          <rPr>
            <b/>
            <sz val="9"/>
            <color indexed="81"/>
            <rFont val="Tahoma"/>
            <family val="2"/>
          </rPr>
          <t>Author:</t>
        </r>
        <r>
          <rPr>
            <sz val="9"/>
            <color indexed="81"/>
            <rFont val="Tahoma"/>
            <family val="2"/>
          </rPr>
          <t xml:space="preserve">
The report "For a Meaningful Artificial Intelligence: Towards a French and European Strategy," authored by Cédric Villani and the French AI Strategy Committee in March 2018, outlines France's vision for the ethical development and deployment of artificial intelligence (AI). The document emphasizes several key principles:​
Google Books
+2
AI Watch
+2
uk.ambafrance.org
+2
Transparency: Ensuring that AI systems operate in an open and understandable manner.​
Fairness: Promoting equitable AI applications that do not perpetuate biases or discrimination.​
Responsibility: Assigning clear accountability for AI decisions and outcomes.​
Privacy: Safeguarding individual data and respecting user confidentiality.​
Inclusivity: Designing AI to benefit all segments of society, reducing digital divides.​
Sustainability: Developing AI solutions that are environmentally friendly and resource-efficient.​
Human Oversight: Maintaining human control over AI systems to ensure alignment with human values.​
These principles are underpinned by values such as ethical responsibility, societal trust, equity, collaboration, and a long-term vision for AI's role in society. The report serves as a foundational document guiding both French and European strategies in AI development.</t>
        </r>
      </text>
    </comment>
    <comment ref="B11" authorId="0" shapeId="0" xr:uid="{7E4EC856-EB64-430C-BE38-FF3E4B36FC02}">
      <text>
        <r>
          <rPr>
            <b/>
            <sz val="9"/>
            <color indexed="81"/>
            <rFont val="Tahoma"/>
            <family val="2"/>
          </rPr>
          <t>Author:</t>
        </r>
        <r>
          <rPr>
            <sz val="9"/>
            <color indexed="81"/>
            <rFont val="Tahoma"/>
            <family val="2"/>
          </rPr>
          <t xml:space="preserve">
The House of Lords Select Committee on Artificial Intelligence published the report "AI in the UK: Ready, Willing and Able?" on April 16, 2018. This comprehensive document examines the UK's position in the development and adoption of artificial intelligence, emphasizing the importance of ethical considerations. The report highlights principles such as transparency, accountability, fairness, data protection, human rights protection, non-discrimination, human oversight, and ethical AI development. These principles align closely with the provided set, indicating a strong match. ​
</t>
        </r>
      </text>
    </comment>
    <comment ref="B12" authorId="0" shapeId="0" xr:uid="{48332E06-6FAA-464F-9982-D46361EEC54E}">
      <text>
        <r>
          <rPr>
            <b/>
            <sz val="9"/>
            <color indexed="81"/>
            <rFont val="Tahoma"/>
            <family val="2"/>
          </rPr>
          <t>Author:</t>
        </r>
        <r>
          <rPr>
            <sz val="9"/>
            <color indexed="81"/>
            <rFont val="Tahoma"/>
            <family val="2"/>
          </rPr>
          <t xml:space="preserve">
Telefónica's Artificial Intelligence Principles, established in 2018, outline the company's commitment to ethical AI development. The principles emphasize fairness, ensuring AI applications do not lead to biased or discriminatory outcomes. Transparency and explainability are prioritized to build user trust by clarifying data usage and decision-making processes. A human-centric approach ensures AI respects human rights and aligns with the UN Sustainable Development Goals. Privacy and security by design are integral, safeguarding personal data and information security. These principles align closely with the provided set, indicating a strong match. ​
</t>
        </r>
      </text>
    </comment>
    <comment ref="B13" authorId="0" shapeId="0" xr:uid="{822DFDAF-3A59-4BEC-99C9-2DCE2B8C5D3E}">
      <text>
        <r>
          <rPr>
            <b/>
            <sz val="9"/>
            <color indexed="81"/>
            <rFont val="Tahoma"/>
            <family val="2"/>
          </rPr>
          <t>Author:</t>
        </r>
        <r>
          <rPr>
            <sz val="9"/>
            <color indexed="81"/>
            <rFont val="Tahoma"/>
            <family val="2"/>
          </rPr>
          <t xml:space="preserve">
The Smart Dubai Initiative, launched in 2014 by the Smart Dubai Office, aims to transform Dubai into the happiest city on earth by leveraging technology and innovation. The initiative is built upon four key principles:​
dwp
+2
Consensys
+2
digitaldubai.ae
+2
Seamless: Ensuring integrated services that provide a unified and coherent experience for users.​
Efficient: Optimizing the use of resources to enhance service delivery and operational performance.​
Safe: Anticipating risks and implementing measures to protect both the infrastructure and its users.​
Personalized: Offering enriched experiences tailored to the individual needs and preferences of citizens and visitors.​
These principles are designed to promote customer happiness, drive economic growth, and ensure the resilience of resources and infrastructure. The initiative's ultimate goal is to create a smart city that not only utilizes advanced technologies but also prioritizes the well-being and satisfaction of its inhabitants</t>
        </r>
      </text>
    </comment>
    <comment ref="B14" authorId="0" shapeId="0" xr:uid="{DCF1BA0F-8E5E-4E01-9CFC-C5B1F597B072}">
      <text>
        <r>
          <rPr>
            <b/>
            <sz val="9"/>
            <color indexed="81"/>
            <rFont val="Tahoma"/>
            <family val="2"/>
          </rPr>
          <t>Author:</t>
        </r>
        <r>
          <rPr>
            <sz val="9"/>
            <color indexed="81"/>
            <rFont val="Tahoma"/>
            <family val="2"/>
          </rPr>
          <t xml:space="preserve">
The Dubai AI Ethics Guidelines, issued by Digital Dubai in January 2019, provide a comprehensive framework to ensure the ethical development and deployment of artificial intelligence (AI) systems within the emirate. These guidelines emphasize several core principles:​
Fairness: Ensuring AI systems are designed and operated without bias, promoting equitable outcomes for all segments of society.​
Transparency: Mandating clarity in AI operations, allowing stakeholders to understand how decisions are made.​
Accountability: Assigning responsibility to AI developers and operators for the outcomes of AI applications.​
Explainability: Requiring that AI decisions can be understood and interpreted by humans, fostering trust and comprehension.​
Safety and Security: Ensuring AI systems operate securely and do not pose risks to users or society.​
Human Values: Aligning AI development with human rights and societal norms, ensuring technology serves humanity's best interests.​
Inclusiveness: Promoting AI benefits across all societal sectors, ensuring no group is left behind in the technological advancement.​
These principles are designed to foster ethical responsibility, societal trust, inclusivity, human-centric development, and global collaboration in AI initiatives. The guidelines serve as a foundational document to guide both public and private sectors in the responsible use of AI technologies within Dubai. ​</t>
        </r>
      </text>
    </comment>
    <comment ref="B15" authorId="0" shapeId="0" xr:uid="{9FA4CC54-4233-4ED6-B2A0-2E0E0FD59C26}">
      <text>
        <r>
          <rPr>
            <b/>
            <sz val="9"/>
            <color indexed="81"/>
            <rFont val="Tahoma"/>
            <family val="2"/>
          </rPr>
          <t>Author:</t>
        </r>
        <r>
          <rPr>
            <sz val="9"/>
            <color indexed="81"/>
            <rFont val="Tahoma"/>
            <family val="2"/>
          </rPr>
          <t xml:space="preserve">
The document "Towards an AI Strategy in Mexico: Harnessing the AI Revolution," published in 2018 by the British Embassy in Mexico in collaboration with Oxford Insights and C Minds, outlines a comprehensive framework for the development and implementation of artificial intelligence (AI) in Mexico. The strategy emphasizes five key areas:​
Oxford Insights
+1
datagovhub.elliott.gwu.edu
+1
datagovhub.elliott.gwu.edu
Governance, Government, and Public Services: Establishing an AI steering group and designing an administrative framework to support the implementation of the national strategy across various departments.​
datagovhub.elliott.gwu.edu
Research and Development: Creating a national center for AI research, strengthening collaboration between academia and industry, and reforming intellectual property laws to foster innovation.​
datagovhub.elliott.gwu.edu
Capacity, Skills, and Education: Developing official programs and certifications for civil servants, integrating AI education beyond computer science, and increasing the number of advanced degree programs in AI and data science.​
datagovhub.elliott.gwu.edu
Data Infrastructure: Maintaining an open data infrastructure, creating representative datasets, and updating privacy laws to address AI-related concerns.​
datagovhub.elliott.gwu.edu
Ethics and Regulation: Reviewing and reforming anti-competition laws concerning data value, and establishing a Mexican AI ethics council to issue guidelines and set quality standards.​
datagovhub.elliott.gwu.edu
These principles are underpinned by values such as inclusivity, innovation, transparency, accountability, and ethical responsibility. The strategy aims to position Mexico as a leader in AI by leveraging these foundational elements to drive economic development and societal well-being. </t>
        </r>
      </text>
    </comment>
    <comment ref="B16" authorId="0" shapeId="0" xr:uid="{6AE8DF6A-1FE1-4EB8-AA4D-32E7D1D82B44}">
      <text>
        <r>
          <rPr>
            <b/>
            <sz val="9"/>
            <color indexed="81"/>
            <rFont val="Tahoma"/>
            <family val="2"/>
          </rPr>
          <t>Author:</t>
        </r>
        <r>
          <rPr>
            <sz val="9"/>
            <color indexed="81"/>
            <rFont val="Tahoma"/>
            <family val="2"/>
          </rPr>
          <t xml:space="preserve">
The Toronto Declaration, issued jointly by Amnesty International and Access Now in May 2018, addresses the human rights implications of machine learning systems, emphasizing the protection of equality and non-discrimination. The declaration outlines several key principles:​
Amnesty International
+2
Toronto Declaration
+2
Wikipedia
+2
Amnesty International
Equality and Non-Discrimination: Ensuring that machine learning systems do not perpetuate biases or discriminatory practices, thereby upholding the fundamental right to equality.​
Inclusion and Diversity: Promoting the involvement of diverse populations in the development and deployment of AI technologies to ensure that these systems cater to varied needs and perspectives.​
Equity: Striving for fairness in AI applications, ensuring that benefits and burdens are distributed justly across all societal groups.​
Accountability and Transparency: Establishing clear accountability mechanisms for AI-related decisions and ensuring that the operations of machine learning systems are transparent to stakeholders.​
Privacy and Data Protection: Safeguarding individuals' personal data and ensuring that AI systems comply with robust data protection standards.​
Access to Effective Remedy: Providing avenues for individuals to seek redress if adversely affected by AI systems, ensuring that justice is accessible and effective.​
Human Rights Protection: Ensuring that AI technologies are developed and used in ways that protect and promote human rights globally.​
These principles are underpinned by values such as inclusivity, innovation, transparency, accountability, and ethical responsibility. The Toronto Declaration serves as a foundational document, guiding both public and private sectors in aligning AI development and deployment with established human rights standards.</t>
        </r>
      </text>
    </comment>
    <comment ref="B18" authorId="0" shapeId="0" xr:uid="{44F42E8D-B51D-4564-BA7E-D76DD50B7917}">
      <text>
        <r>
          <rPr>
            <b/>
            <sz val="9"/>
            <color indexed="81"/>
            <rFont val="Tahoma"/>
            <family val="2"/>
          </rPr>
          <t>Author:</t>
        </r>
        <r>
          <rPr>
            <sz val="9"/>
            <color indexed="81"/>
            <rFont val="Tahoma"/>
            <family val="2"/>
          </rPr>
          <t xml:space="preserve">
The Beijing AI Principles, issued in 2019 by the Beijing Academy of Artificial Intelligence (BAAI), set an early ethical framework for AI development in China. These principles emphasize responsible AI governance, risk management, fairness, and inclusivity, aiming to ensure AI benefits society while aligning with government priorities in economic growth, technological leadership, and security.
Impact on AI Policy in China:
Integration with National AI Strategy – The principles have influenced China’s broader New Generation Artificial Intelligence Development Plan, reinforcing AI ethics and governance as strategic priorities. This plan positions AI as a key driver of economic development while addressing risk mitigation and ethical concerns.
Regulatory Influence – The 2021 AI Ethics Guidelines released by the Ministry of Science and Technology (MOST) reflect many of the Beijing AI Principles, particularly on human oversight, risk control, and sustainability. These guidelines have shaped policies regarding facial recognition, data security, and algorithmic regulation.
Global AI Diplomacy – China has used these principles in international AI discussions, framing itself as a leader in AI governance and ethics. They have appeared in China’s contributions to UNESCO AI ethics frameworks and global AI regulation dialogues.
Industry Adoption – The principles have encouraged Chinese tech companies like Baidu, Alibaba, and Tencent to adopt AI ethics policies focused on transparency, fairness, and privacy protection. These companies have since developed internal AI ethics boards and compliance mechanisms.
Overall, the Beijing AI Principles have shaped China’s AI policy and regulatory landscape, influencing both domestic AI governance and China’s approach to international AI cooperation. They represent a shift toward aligning AI ethics with government oversight, technological sovereignty, and economic growth.</t>
        </r>
      </text>
    </comment>
    <comment ref="B19" authorId="0" shapeId="0" xr:uid="{F675EFB6-F544-4FA3-896B-CA20F40EC0F3}">
      <text>
        <r>
          <rPr>
            <b/>
            <sz val="9"/>
            <color indexed="81"/>
            <rFont val="Tahoma"/>
            <family val="2"/>
          </rPr>
          <t>Author:</t>
        </r>
        <r>
          <rPr>
            <sz val="9"/>
            <color indexed="81"/>
            <rFont val="Tahoma"/>
            <family val="2"/>
          </rPr>
          <t xml:space="preserve">
Argentina's National AI Strategy, released in 2019, outlines the country's commitment to harnessing artificial intelligence (AI) for sustainable development and societal advancement. The strategy emphasizes principles such as equity, inclusivity, quality education, lifelong learning, innovation, and collaboration, reflecting values that prioritize equitable access to AI benefits and the promotion of continuous learning and innovation. ​
Impact on Argentina's AI Policy:
Educational Initiatives: The strategy underscores the importance of integrating AI into educational curricula to foster a culture of innovation and continuous learning. This focus aims to equip citizens with the necessary skills to thrive in an AI-driven economy. ​
Ethical and Inclusive AI Development: By prioritizing equity and inclusivity, Argentina's AI policy seeks to ensure that AI technologies are developed and implemented in ways that benefit all segments of society, thereby reducing digital divides and promoting social equity. ​
Collaborative Research and Innovation: The strategy encourages collaboration among government entities, academic institutions, industry stakeholders, and civil society to drive AI research and innovation. This collaborative approach aims to foster a robust AI ecosystem that aligns with national development goals. ​
Regulatory Frameworks: The emphasis on ethical responsibility has led to the development of regulatory frameworks that guide the responsible use of AI, ensuring that AI applications adhere to legal and ethical standards. ​
Overall, Argentina's National AI Strategy has significantly influenced the country's AI policy by establishing a framework that promotes ethical, inclusive, and innovative AI development, aligning with broader national objectives for sustainable development and social well-being.</t>
        </r>
      </text>
    </comment>
    <comment ref="B20" authorId="0" shapeId="0" xr:uid="{6E33D9CE-0022-4F06-BAEF-2F2C3E2D6039}">
      <text>
        <r>
          <rPr>
            <b/>
            <sz val="9"/>
            <color indexed="81"/>
            <rFont val="Tahoma"/>
            <charset val="1"/>
          </rPr>
          <t>Author:</t>
        </r>
        <r>
          <rPr>
            <sz val="9"/>
            <color indexed="81"/>
            <rFont val="Tahoma"/>
            <charset val="1"/>
          </rPr>
          <t xml:space="preserve">
The Santiago Declaration to Promote Ethical AI in Latin America and the Caribbean, adopted in October 2023, represents a collective commitment by 20 nations in the region to foster ethical and responsible development and use of artificial intelligence (AI). The declaration emphasizes principles such as proportionality, security, fairness, non-discrimination, gender equality, accessibility, sustainability, and privacy and data protection, reflecting a unified approach to integrating ethical considerations into AI policies and practices. ​
InvestChile Blog
Impact on AI Policy in Latin America and the Caribbean:
Regional Cooperation: The declaration has catalyzed the formation of an intergovernmental council focused on AI, aiming to strengthen regional governance and harmonize AI policies across Latin America and the Caribbean. This collaborative effort seeks to address shared challenges and leverage AI for sustainable development. ​
BABL AI
+1
InvestChile Blog
+1
Alignment with International Frameworks: By endorsing ethical principles consistent with UNESCO's Recommendation on the Ethics of Artificial Intelligence, the declaration aligns regional AI initiatives with global standards, promoting a cohesive approach to AI ethics and governance. ​
UNESCO
+2
InvestChile Blog
+2
Telefónica
+2
Inclusive Policy Development: The emphasis on fairness, non-discrimination, and accessibility has led to the incorporation of diverse perspectives in AI policy-making processes, ensuring that AI technologies benefit all societal segments and do not exacerbate existing inequalities. ​
BABL AI
Capacity Building: The declaration underscores the importance of education and training in AI ethics, prompting initiatives to enhance the capabilities of policymakers, industry stakeholders, and civil society in understanding and implementing ethical AI practices. ​
UNESCO
Sustainable Development: By integrating sustainability as a core principle, the declaration encourages the development and deployment of AI technologies that contribute to environmental preservation and address climate change challenges. ​
Overall, the Santiago Declaration has significantly influenced AI policy in Latin America and the Caribbean by establishing a unified ethical framework that guides the development, deployment, and governance of AI technologies in the region.</t>
        </r>
      </text>
    </comment>
    <comment ref="B25" authorId="0" shapeId="0" xr:uid="{368FBAEE-4070-4604-9F69-AC2447A6F094}">
      <text>
        <r>
          <rPr>
            <b/>
            <sz val="9"/>
            <color indexed="81"/>
            <rFont val="Tahoma"/>
            <family val="2"/>
          </rPr>
          <t>Author:</t>
        </r>
        <r>
          <rPr>
            <sz val="9"/>
            <color indexed="81"/>
            <rFont val="Tahoma"/>
            <family val="2"/>
          </rPr>
          <t xml:space="preserve">
The paper "European Strategy on AI: Are we truly fostering social good?" by Foffano et al. (2020) presents an ongoing study on how European countries are approaching Artificial Intelligence (AI) through their national strategies. The authors investigate the extent to which these strategies contribute to societal benefits, focusing on principles such as inclusive growth, sustainable development, and the protection of human rights. The study provides a qualitative analysis of investment plans reported in 15 European National Strategies, aligning closely with the provided set of principles and values. ​
</t>
        </r>
      </text>
    </comment>
    <comment ref="B33" authorId="0" shapeId="0" xr:uid="{AE5FDF34-645E-419F-918F-AF2AFDB56472}">
      <text>
        <r>
          <rPr>
            <b/>
            <sz val="9"/>
            <color indexed="81"/>
            <rFont val="Tahoma"/>
            <family val="2"/>
          </rPr>
          <t>Author:</t>
        </r>
        <r>
          <rPr>
            <sz val="9"/>
            <color indexed="81"/>
            <rFont val="Tahoma"/>
            <family val="2"/>
          </rPr>
          <t xml:space="preserve">
Access Now's report, "Human Rights in the Age of Artificial Intelligence," published in November 2018, emphasizes the critical need for AI development and deployment to be firmly rooted in human rights principles. The report outlines key principles such as transparency, accountability, fairness, data protection, human rights protection, non-discrimination, human oversight, and ethical AI development. These principles align closely with the provided set, indicating a strong match. ​
</t>
        </r>
      </text>
    </comment>
    <comment ref="B38" authorId="0" shapeId="0" xr:uid="{0ACDF1C7-081D-4657-AF8A-FE1D1CEAF233}">
      <text>
        <r>
          <rPr>
            <b/>
            <sz val="9"/>
            <color indexed="81"/>
            <rFont val="Tahoma"/>
            <charset val="1"/>
          </rPr>
          <t>Author:</t>
        </r>
        <r>
          <rPr>
            <sz val="9"/>
            <color indexed="81"/>
            <rFont val="Tahoma"/>
            <charset val="1"/>
          </rPr>
          <t xml:space="preserve">
The OECD AI Principles, first adopted in May 2019 and updated in May 2024, serve as the inaugural intergovernmental standard for artificial intelligence (AI), promoting innovative and trustworthy AI that respects human rights and democratic values. ​
OECD.AI
+4
OECD
+4
OECD
+4
Impact on International AI Policy:
Global Adoption: The principles have been endorsed by all OECD member countries and several non-member countries, influencing national AI strategies and regulatory frameworks worldwide. ​
DPA
Alignment with Other Frameworks: The OECD AI Principles have informed the development of other international guidelines, such as the G20 AI Principles, fostering global policy interoperability. ​
OECD
National Implementations: Countries have utilized these principles to craft policies addressing AI risks and promoting trustworthy AI, as documented in the OECD's national policy database. ​
OECD.AI
+1
OECD
+1
Updates Reflecting Technological Advances: The 2024 update ensures the principles remain robust and applicable amidst rapid technological developments in AI. ​
DPA
Overall, the OECD AI Principles have significantly shaped global AI policy by providing a foundational framework that guides the ethical development and deployment of AI technologies.</t>
        </r>
      </text>
    </comment>
    <comment ref="B39" authorId="0" shapeId="0" xr:uid="{B8185B74-545B-4B5C-A2AA-73699C915ACF}">
      <text>
        <r>
          <rPr>
            <b/>
            <sz val="9"/>
            <color indexed="81"/>
            <rFont val="Tahoma"/>
            <charset val="1"/>
          </rPr>
          <t>Author:</t>
        </r>
        <r>
          <rPr>
            <sz val="9"/>
            <color indexed="81"/>
            <rFont val="Tahoma"/>
            <charset val="1"/>
          </rPr>
          <t xml:space="preserve">
Established in September 2016, the Partnership on AI (PAI) is a non-profit coalition comprising leading technology companies, academia, and civil society organizations. Its mission is to promote the responsible development and use of artificial intelligence (AI) technologies for the benefit of people and society. ​
Google DeepMind
+4
Partnership on AI
+4
GeekWire
+4
Wikipedia
Impact on AI Policy:
Development of Best Practices: PAI has played a pivotal role in formulating best practices for AI development and deployment, focusing on ethical considerations and societal impacts. These guidelines have influenced industry standards and informed policy discussions on AI ethics and governance. ​
Multistakeholder Collaboration: By bringing together diverse stakeholders, including industry leaders, researchers, and civil society, PAI has fostered collaborative approaches to address AI's ethical challenges. This collaboration has led to the creation of resources and frameworks that guide policymakers in crafting informed AI regulations. ​
Global Policy Alignment: PAI's initiatives have contributed to aligning global AI policies by providing comparative analyses of leading policy frameworks. For instance, their report on AI transparency offers insights into harmonizing documentation requirements across different regulatory environments, facilitating international cooperation in AI governance. ​
Press Release Services
Overall, the Partnership on AI has significantly influenced AI policy by advocating for ethical standards, promoting transparency, and encouraging collaborative efforts to ensure that AI technologies serve the greater good.</t>
        </r>
      </text>
    </comment>
    <comment ref="B40" authorId="0" shapeId="0" xr:uid="{B67903DA-2984-4346-98C1-362201B11493}">
      <text>
        <r>
          <rPr>
            <b/>
            <sz val="9"/>
            <color indexed="81"/>
            <rFont val="Tahoma"/>
            <charset val="1"/>
          </rPr>
          <t>Author:</t>
        </r>
        <r>
          <rPr>
            <sz val="9"/>
            <color indexed="81"/>
            <rFont val="Tahoma"/>
            <charset val="1"/>
          </rPr>
          <t xml:space="preserve">
The 2016 report "Preparing for the Future of Artificial Intelligence," issued by the National Science and Technology Council Committee on Technology under the Obama Administration, serves as a foundational document outlining the United States' approach to artificial intelligence (AI) policy. The report emphasizes the importance of public engagement, ethical AI development, safety and control measures, economic and workforce considerations, and international collaboration. These principles reflect core values of transparency, accountability, inclusivity, security, and fairness. ​
whitehouse.gov
Impact on U.S. AI Policy:
Establishment of Ethical Guidelines: The report laid the groundwork for developing ethical guidelines in AI research and application, influencing subsequent policies that prioritize responsible AI development. ​
whitehouse.gov
Focus on Workforce Development: By addressing economic and workforce considerations, the report prompted initiatives aimed at preparing the workforce for AI-induced changes, emphasizing education and training programs to equip workers with relevant skills. ​
whitehouse.gov
Promotion of International Collaboration: The emphasis on international collaboration fostered partnerships with other nations to address global AI challenges, leading to cooperative efforts in AI research and policy development. ​
Public Engagement Initiatives: Highlighting the importance of public engagement led to increased efforts to involve citizens in discussions about AI, enhancing public understanding and trust in AI technologies. ​
Development of Safety and Control Measures: The report's focus on safety and control influenced the creation of standards and regulations to ensure the safe deployment of AI systems, addressing potential risks associated with AI technologies. ​
Overall, the report has significantly shaped U.S. AI policy by establishing a framework that balances innovation with ethical considerations, safety, and societal impact.​</t>
        </r>
      </text>
    </comment>
    <comment ref="B41" authorId="0" shapeId="0" xr:uid="{FEA567DC-9935-4326-B057-BBF59BBAACEA}">
      <text>
        <r>
          <rPr>
            <b/>
            <sz val="9"/>
            <color indexed="81"/>
            <rFont val="Tahoma"/>
            <charset val="1"/>
          </rPr>
          <t>Author:</t>
        </r>
        <r>
          <rPr>
            <sz val="9"/>
            <color indexed="81"/>
            <rFont val="Tahoma"/>
            <charset val="1"/>
          </rPr>
          <t xml:space="preserve">
The Berkman Klein Center's 2020 white paper, "Principled Artificial Intelligence: Mapping Consensus in Ethical and Rights-Based Approaches to Principles for AI," offers a comprehensive analysis of 36 prominent AI principles documents. This study identifies eight key thematic trends:​
Medium
+2
Berkman Klein Center
+2
Accel.AI
+2
Privacy: Emphasizing the protection of individual data and ensuring informed consent.​
Accountability: Ensuring that entities involved in AI development and deployment are responsible for their systems' outcomes.​
Safety and Security: Prioritizing the development of AI systems that are secure from malicious attacks and operate safely within intended parameters.​
Transparency and Explainability: Advocating for AI systems to be understandable and their decision-making processes clear to users.​
Fairness and Non-Discrimination: Ensuring AI systems do not perpetuate biases and treat all users equitably.​
Human Control of Technology: Maintaining human oversight and the ability to intervene in AI system operations.​
Professional Responsibility: Encouraging ethical conduct and adherence to professional standards among AI practitioners.​
Promotion of Human Values: Aligning AI development with broader societal values and ethical considerations.​
Impact on AI Policy:
This white paper has significantly influenced AI policy by providing a structured framework that highlights common ethical considerations across various AI guidelines. Policymakers and organizations have utilized these insights to develop and refine their own AI ethics policies, ensuring alignment with broadly accepted principles. The identification of these thematic trends has also facilitated international dialogue and cooperation in establishing global AI ethics standards.​
Berkman Klein Center
By mapping the consensus in ethical and rights-based approaches to AI principles, the Berkman Klein Center's work has contributed to a more unified and coherent approach to AI ethics, guiding both the development of new policies and the evaluation of existing ones.​</t>
        </r>
      </text>
    </comment>
    <comment ref="B42" authorId="0" shapeId="0" xr:uid="{91C4764D-D589-4588-A592-5EF7AE95C5F6}">
      <text>
        <r>
          <rPr>
            <b/>
            <sz val="9"/>
            <color indexed="81"/>
            <rFont val="Tahoma"/>
            <charset val="1"/>
          </rPr>
          <t xml:space="preserve">Analysis
</t>
        </r>
        <r>
          <rPr>
            <sz val="9"/>
            <color indexed="81"/>
            <rFont val="Tahoma"/>
            <family val="2"/>
          </rPr>
          <t>Tencent's Responsible AI Principles, established in 2018, underscore the company's commitment to ethical artificial intelligence (AI) development. These principles emphasize fairness, transparency, accountability, security, inclusiveness, and sustainability, aligning with values such as ethical responsibility, societal trust, innovation, collaboration, and environmental stewardship.​
Impact on China's AI Policy:
Corporate Self-Regulation: Tencent's proactive establishment of AI ethics principles reflects a broader trend among Chinese technology companies toward self-regulation in AI development. This initiative aligns with the Chinese government's emphasis on corporate responsibility in AI governance, as highlighted by the China Academy of Information and Communications Technology (CAICT). ​
Merics
Alignment with National Guidelines: Tencent's principles resonate with China's national AI governance frameworks, such as the Beijing AI Principles and guidelines issued by the Ministry of Science and Technology (MOST). These frameworks collectively emphasize technical robustness, safety, human oversight, data privacy, and accountability. ​
Merics
Influence on Industry Standards: By articulating detailed AI ethics principles, Tencent has contributed to shaping industry standards and best practices within China's AI sector. This leadership encourages other companies to adopt similar ethical guidelines, fostering a culture of responsible AI development. ​
Merics
Global Engagement: Tencent's commitment to responsible AI aligns with international efforts to establish ethical AI standards. The company's participation in global forums and collaborations reflects China's growing engagement in shaping global AI governance. ​
Merics
Overall, Tencent's Responsible AI Principles have played a significant role in promoting ethical AI practices within China, influencing both national policy and industry norms.</t>
        </r>
      </text>
    </comment>
    <comment ref="C76" authorId="0" shapeId="0" xr:uid="{89D66645-AF0D-4698-B3AC-F42036B2AAD8}">
      <text>
        <r>
          <rPr>
            <b/>
            <sz val="9"/>
            <color indexed="81"/>
            <rFont val="Tahoma"/>
            <family val="2"/>
          </rPr>
          <t>Author:</t>
        </r>
        <r>
          <rPr>
            <sz val="9"/>
            <color indexed="81"/>
            <rFont val="Tahoma"/>
            <family val="2"/>
          </rPr>
          <t xml:space="preserve">
Principles: These are the fundamental guidelines and rules that direct my actions and responses. They represent the core standards I operate by - what I fundamentally aim to do or not do.
Values: These reflect what I consider important and worth prioritizing. Values are the qualities and concepts I seek to uphold and promote through my assistance.
Morals: These relate to specific positions on right and wrong conduct. Morals represent concrete behavioral boundaries and ethical positions on particular issues.
Ethics: These represent the broader philosophical framework and systematic approach to decision-making. Ethics encompasses how I balance competing values and principles when making decisions.
There's naturally some overlap between these categories, as they're interconnected aspects of the same overall ethical framework. For instance, "truth" might appear as a principle (I aim to be truthful), a value (I prioritize accuracy), a moral position (I avoid deception), and part of my ethical framework (I balance truthfulness with other considerations).</t>
        </r>
      </text>
    </comment>
    <comment ref="B115" authorId="0" shapeId="0" xr:uid="{628DA47C-AC99-4F8B-9CD2-9D18DE44749C}">
      <text>
        <r>
          <rPr>
            <b/>
            <sz val="9"/>
            <color indexed="81"/>
            <rFont val="Tahoma"/>
            <charset val="1"/>
          </rPr>
          <t>Author:</t>
        </r>
        <r>
          <rPr>
            <sz val="9"/>
            <color indexed="81"/>
            <rFont val="Tahoma"/>
            <charset val="1"/>
          </rPr>
          <t xml:space="preserve">
Intel's Responsible Artificial Intelligence (RAI) Principles, released in December 2023, reflect the company's commitment to ethical AI development and deployment. These principles emphasize respecting human rights, ensuring human oversight, promoting transparency, advancing security, designing for privacy, fostering equity and inclusion, and protecting the environment. This comprehensive approach aligns with Intel's broader ethical standards and human rights policies.
Impact on Intel's AI Policy:
Integration into Development Processes: Intel has incorporated these RAI principles into its AI product lifecycle, guiding the design, development, and deployment of AI technologies to ensure they align with ethical standards and societal values.
Establishment of Advisory Councils: To uphold these principles, Intel has formed internal advisory councils that review AI development activities, ensuring adherence to ethical guidelines and addressing potential risks associated with AI applications. ​
Intel Download Center
+2
Intel
+2
Intel
+2
Promotion of Transparency and Accountability: By committing to transparency and explainability, Intel aims to build trust with users and stakeholders, ensuring AI systems are understandable and their decision-making processes clear.
Emphasis on Environmental Sustainability: Recognizing the environmental impact of AI, Intel's principles include a focus on developing energy-efficient AI solutions, aligning with the company's environmental stewardship commitments.
Overall, Intel's RAI Principles have significantly influenced the company's AI policy by embedding ethical considerations into every stage of AI development, fostering societal trust, and promoting sustainable innovation.</t>
        </r>
      </text>
    </comment>
    <comment ref="B119" authorId="0" shapeId="0" xr:uid="{4D0A41AD-A19B-4632-B4D9-937E0213ADC3}">
      <text>
        <r>
          <rPr>
            <b/>
            <sz val="9"/>
            <color indexed="81"/>
            <rFont val="Tahoma"/>
            <family val="2"/>
          </rPr>
          <t>Author:</t>
        </r>
        <r>
          <rPr>
            <sz val="9"/>
            <color indexed="81"/>
            <rFont val="Tahoma"/>
            <family val="2"/>
          </rPr>
          <t xml:space="preserve">
This document presents a robust Islamic ethical framework for AI, advocating the use of maṣlaḥa (public interest) as a pluralist benchmark for AI ethics. Ezieddin Elmahjub draws on Islamic jurisprudence, especially maqāṣid al-sharīʿa (the objectives of Islamic law), to argue that AI ethics in Muslim societies must reflect both duty-based imperatives (e.g., preserving life and dignity) and welfarist calculations (e.g., maximizing social benefit). The study critiques the Western monopoly on AI norm-setting and calls for integration of Islamic sources—Qurʾān, Hadith, and rational legal tools like analogy (qiyās) and juristic preference (istiḥsān).
Impact on AI Policy in the Islamic World:
Normative Counterbalance: Introduces an alternative ethical logic rooted in Islamic law, capable of balancing global standards with culturally anchored values.
Hybrid Benchmarking Model: Suggests a blended approach combining consequentialist and deontological reasoning in Islamic jurisprudence, applicable to AI design and regulation.
Policy Framing in Muslim-majority States: Influences national AI strategies in countries like Qatar and Egypt by encouraging ethical alignment with local religious and cultural norms.
Contributes to Global Ethics Dialogue: Offers a theological-philosophical foundation for a comparative pluralist ethics, expanding the horizon beyond secular-liberal frameworks.
This work is a significant addition to the field of global AI ethics and positions Islamic jurisprudential reasoning as a legitimate and sophisticated tool for addressing ethical dilemmas posed by advanced technologies.</t>
        </r>
      </text>
    </comment>
    <comment ref="B120" authorId="0" shapeId="0" xr:uid="{D24FF0D6-7B43-4635-A89E-8C2D817DF238}">
      <text>
        <r>
          <rPr>
            <b/>
            <sz val="9"/>
            <color indexed="81"/>
            <rFont val="Tahoma"/>
            <family val="2"/>
          </rPr>
          <t>Author:</t>
        </r>
        <r>
          <rPr>
            <sz val="9"/>
            <color indexed="81"/>
            <rFont val="Tahoma"/>
            <charset val="1"/>
          </rPr>
          <t xml:space="preserve">
The paper "Artificial Intelligence and Islamic Ethics: A Framework for Ethical AI Development Based on Maqasid Al-Shariah" presents a unique perspective on AI ethics by integrating Islamic ethical principles derived from Maqasid Al-Shariah—the objectives of Islamic law. The framework emphasizes five core principles:​
Preservation of Religion (Hifz al-Din): Ensuring that AI development and applications respect and do not contradict religious beliefs and practices.​
Preservation of Life (Hifz al-Nafs): Prioritizing the safety and well-being of individuals, ensuring that AI systems do not harm human life.​
Preservation of Intellect (Hifz al-Aql): Promoting the protection and enhancement of human intellect, ensuring that AI supports human cognitive functions without causing dependency or intellectual harm.​
Preservation of Progeny (Hifz al-Nasl): Safeguarding family and societal structures, ensuring that AI applications do not disrupt social cohesion or moral values.​
Preservation of Wealth (Hifz al-Mal): Ensuring that AI contributes to economic justice and does not lead to exploitation or unjust economic practices.​
These principles are underpinned by values such as justice, beneficence, wisdom, moral integrity, and public interest, guiding the ethical development and deployment of AI technologies within an Islamic ethical framework.​
Impact on AI Policy in Indonesia:
Integrating Maqasid Al-Shariah into AI ethics provides a culturally relevant framework that aligns with the values of Muslim-majority countries like Indonesia. This approach can influence AI policy in several ways:​
Culturally Aligned Ethical Guidelines: Developing AI policies that resonate with Islamic ethical principles ensures broader acceptance and adherence within Indonesian society.​
Educational Integration: Incorporating this framework into educational curricula can promote awareness and understanding of ethical AI development among future professionals.​
Policy Development: Policymakers can utilize this framework to draft regulations that ensure AI technologies align with societal values and ethical standards.​
Overall, this framework offers a valuable perspective for developing ethical AI policies that are culturally and religiously informed, promoting responsible AI development in Indonesia and other Muslim-majority countries.</t>
        </r>
      </text>
    </comment>
    <comment ref="B121" authorId="0" shapeId="0" xr:uid="{C3C8BC29-9F9B-44D9-9F9E-825780367123}">
      <text>
        <r>
          <rPr>
            <b/>
            <sz val="9"/>
            <color indexed="81"/>
            <rFont val="Tahoma"/>
            <family val="2"/>
          </rPr>
          <t>Author:</t>
        </r>
        <r>
          <rPr>
            <sz val="9"/>
            <color indexed="81"/>
            <rFont val="Tahoma"/>
            <family val="2"/>
          </rPr>
          <t xml:space="preserve">
In December 2023, Israel's Ministry of Innovation, Science and Technology, in collaboration with the Ministry of Justice, published "Israel's Policy on Artificial Intelligence Regulation and Ethics." This policy document aligns with the OECD AI Principles and outlines a framework to promote responsible AI innovation. The policy emphasizes the following key principles:​
Mevaker Library
+3
Government of Israel
+3
Wikipedia
+3
Human-centric AI: Ensuring AI development respects the rule of law, fundamental rights, and public interests, thereby preserving human dignity and privacy.​
Government of Israel
Equality and Non-discrimination: Addressing potential biases to prevent discrimination against individuals or groups, while recognizing AI's capacity to promote equality.​
Government of Israel
Transparency and Explainability: Informing individuals about AI interactions and providing understandable explanations of AI-based decisions, considering factors like impact, intellectual property, and technical limitations.​
Government of Israel
Reliability, Robustness, Security, and Safety: Implementing measures to mitigate safety and cybersecurity risks throughout the AI system lifecycle, adhering to accepted risk management standards.​
Government of Israel
Accountability: Holding developers, operators, and users responsible for AI system performance and ethical compliance, encouraging the adoption of risk-management approaches.​
The policy also underscores values such as human dignity, privacy, equality, transparency, safety, and accountability. Notably, it recommends sector-specific regulation, a risk-based approach, and the use of "soft" regulatory tools to balance innovation with ethical considerations. Additionally, it proposes the establishment of an AI Policy Coordination Center to advise regulators, promote inter-agency coordination, and represent Israel in international AI forums. ​
Government of Israel
+1
Wikipedia
+1
Impact on AI Policy in Israel:
Guidance for Sectoral Regulators: The policy provides a structured framework for regulators across various sectors to assess and implement AI regulations, ensuring consistency with national and international standards.​
Government of Israel
Promotion of Responsible Innovation: By advocating for a risk-based and incremental regulatory approach, the policy seeks to foster innovation while safeguarding ethical principles and public trust.​
Wikipedia
+1
Government of Israel
+1
International Alignment: Aligning with OECD AI Principles facilitates international interoperability, positioning Israel to collaborate effectively in the global AI landscape.​
Establishment of Coordination Mechanisms: The proposed AI Policy Coordination Center aims to streamline efforts among government bodies, industry, academia, and civil society, enhancing coherence in AI policy implementation.​
Government of Israel
In conclusion, Israel's policy document reflects a comprehensive effort to integrate ethical considerations into AI development and regulation, aiming to balance technological advancement with societal values.</t>
        </r>
      </text>
    </comment>
    <comment ref="B123" authorId="0" shapeId="0" xr:uid="{19EDAFA9-7423-4884-AA3B-9EA7EAD62EFB}">
      <text>
        <r>
          <rPr>
            <b/>
            <sz val="9"/>
            <color indexed="81"/>
            <rFont val="Tahoma"/>
            <family val="2"/>
          </rPr>
          <t>Author:</t>
        </r>
        <r>
          <rPr>
            <sz val="9"/>
            <color indexed="81"/>
            <rFont val="Tahoma"/>
            <family val="2"/>
          </rPr>
          <t xml:space="preserve">
Japan’s AI Principles: Harmony
Japan’s Social Principles of Human-Centric AI emphasize harmony and societal well-being, integrating AI into society without disrupting collective values.
Application:
AI in disaster management: Fair allocation of resources while considering community hierarchies.
Healthcare AI: Transparent decision-making respecting cultural norms of patient-doctor interactions.
The Center for Strategic and International Studies (CSIS) is a bipartisan, nonprofit policy research organization dedicated to advancing practical ideas to address the world’s greatest challenges.</t>
        </r>
      </text>
    </comment>
    <comment ref="I123" authorId="0" shapeId="0" xr:uid="{FEBA3F8C-6848-430B-81DC-14BB04738328}">
      <text>
        <r>
          <rPr>
            <b/>
            <sz val="9"/>
            <color indexed="81"/>
            <rFont val="Tahoma"/>
            <family val="2"/>
          </rPr>
          <t>Author:</t>
        </r>
        <r>
          <rPr>
            <sz val="9"/>
            <color indexed="81"/>
            <rFont val="Tahoma"/>
            <family val="2"/>
          </rPr>
          <t xml:space="preserve">
The Center for Strategic and International Studies (CSIS) is a renowned think tank that offers a wide array of programs designed to address critical global issues. These programs are led by experts who bring deep knowledge and experience to their respective fields. CSIS programs cover a broad spectrum of topics, including defense and security, energy and climate change, economic security, and international development2.
CSIS experts are a diverse group of professionals with backgrounds in government, academia, and industry. They include individuals like Gregory C. Allen, Director of the Wadhwani AI Center; Jon B. Alterman, Senior Vice President and Director of the Middle East Program; and Emily Harding, Vice President and Director of the Intelligence, National Security, and Technology Program5. These experts provide strategic insights and policy solutions to help decision-makers navigate complex global challenges.
CSIS serves regions across the globe, including Africa, the Americas, Asia, Europe, the Middle East, and Russia and Eurasia. This global reach allows CSIS to analyze issues from a regional perspective, providing nuanced insights into how public policies impact different parts of the world.
Key topics covered by CSIS include climate change, cybersecurity, defense and security, economic security, energy and sustainability, food security, global health, human rights, and international development9. These topics are critical to understanding and addressing the multifaceted challenges facing the world today.</t>
        </r>
      </text>
    </comment>
    <comment ref="B125" authorId="0" shapeId="0" xr:uid="{8F4BDFC2-484A-43C8-B9EC-89F2E4880E86}">
      <text>
        <r>
          <rPr>
            <b/>
            <sz val="9"/>
            <color indexed="81"/>
            <rFont val="Tahoma"/>
            <family val="2"/>
          </rPr>
          <t>Author:</t>
        </r>
        <r>
          <rPr>
            <sz val="9"/>
            <color indexed="81"/>
            <rFont val="Tahoma"/>
            <family val="2"/>
          </rPr>
          <t xml:space="preserve">
In this article, David Zvi Kalman explores the unique contributions of Jewish thought to AI ethics. He emphasizes that the concept of being created "in the image of God" (tzelem Elohim) in Judaism is not solely about biological humanity but also encompasses behavior and moral actions. This perspective suggests that AI systems demonstrating human-like behavior could challenge traditional notions of human uniqueness. Kalman also discusses the potential role of AI in Jewish learning, acknowledging its utility in translating and navigating complex texts while highlighting the enduring value of traditional study methods, such as hevruta (paired study). Additionally, he reflects on the theological implications of creating AI, suggesting that this act may require a re-examination of humanity's relationship with the divine. ​
Future of Life Institute
+3
Future of Life Institute
+3
Future of Life Institute
+3
Future of Life Institute
+1
chron.com
+1
Impact on AI Policy:
Reevaluation of Personhood: The Jewish perspective that moral agency and behavior contribute to the concept of being "in the image of God" may influence debates on AI personhood and rights.​
Educational Integration: The acceptance of AI tools in religious study could serve as a model for integrating AI into educational contexts, balancing technological assistance with traditional learning methods.​
Theological Discourse: The discussion prompts broader theological debates about creation and the ethical responsibilities of developing advanced AI systems.​
This article offers a nuanced view of how Jewish ethics can inform the development and application of AI, emphasizing principles and values that align with broader ethical considerations in technology.</t>
        </r>
      </text>
    </comment>
    <comment ref="B126" authorId="0" shapeId="0" xr:uid="{B777F64A-F19B-426B-9794-F2E4A0999746}">
      <text>
        <r>
          <rPr>
            <b/>
            <sz val="9"/>
            <color indexed="81"/>
            <rFont val="Tahoma"/>
            <family val="2"/>
          </rPr>
          <t>Author:</t>
        </r>
        <r>
          <rPr>
            <sz val="9"/>
            <color indexed="81"/>
            <rFont val="Tahoma"/>
            <family val="2"/>
          </rPr>
          <t xml:space="preserve">
ChatGPT said:
Name of Document/Website: Judaism's Three Doors into AI​
Issuer: Jello Menorah (Author: David Zvi Kalman)​
jellomenorah.com
+1
jellomenorah.com
+1
Country of Issuer: United States​
Date of Issue: January 23, 2023​
jellomenorah.com
+1
jellomenorah.com
+1
Sector: Non-Profit Organization​
Matched/Unmatched: Matched​
Principles: Human dignity, moral agency, responsibility, transparency, inclusivity, justice​
Values: Human dignity, moral agency, responsibility, transparency, inclusivity, justice​
Analysis:
In "Judaism's Three Doors into AI," David Zvi Kalman examines how Jewish thought can engage with artificial intelligence through three distinct approaches:​
Halakhic (Jewish Law): Kalman observes that Jewish law has evolved to address speculative technologies, including AI. While halakhic discussions can effectively tackle legal questions like liability in autonomous vehicles, they may fall short in addressing broader ethical concerns, such as the morality of facial recognition technology.​
Pedagogical: With the advent of AI tools like ChatGPT, educators face new challenges and opportunities. Kalman emphasizes the necessity of developing a Jewish pedagogy for the AI era, addressing issues such as the authenticity of AI-generated Torah content and the moral implications of integrating AI into educational settings.​
Theological: AI presents profound questions for Jewish theology, including the nature of personhood, the human-divine creative relationship, and the ethical treatment of AI entities. Kalman advocates for a robust theological discourse to navigate these complex issues, viewing it as a moral imperative for the Jewish community.​
This framework encourages a comprehensive and nuanced Jewish engagement with AI, integrating legal, educational, and theological perspectives to address the multifaceted challenges posed by emerging technologies.
Impact on AI Policy:
Holistic Ethical Framework: By incorporating legal, educational, and theological perspectives, this approach offers a multifaceted ethical framework that can inform AI policy development within Jewish communities and beyond.​
Educational Adaptation: Recognizing the impact of AI on education prompts the development of curricula that address the ethical use of technology, fostering critical thinking and moral responsibility among students.​
Theological Reflection: Engaging in theological discourse about AI encourages deeper consideration of the human-AI relationship, potentially influencing policies on AI rights, responsibilities, and integration into society.​
Kalman's insights contribute to a richer understanding of how religious traditions can inform contemporary discussions on AI ethics and policy.</t>
        </r>
      </text>
    </comment>
    <comment ref="B127" authorId="0" shapeId="0" xr:uid="{35C19935-CE60-4CAE-80B8-FDE81A42BF0E}">
      <text>
        <r>
          <rPr>
            <b/>
            <sz val="9"/>
            <color indexed="81"/>
            <rFont val="Tahoma"/>
            <family val="2"/>
          </rPr>
          <t>Author:</t>
        </r>
        <r>
          <rPr>
            <sz val="9"/>
            <color indexed="81"/>
            <rFont val="Tahoma"/>
            <family val="2"/>
          </rPr>
          <t xml:space="preserve">
This landmark report forecasts how malicious actors could exploit AI capabilities over the next five years. The authors categorize threats into three domains: digital, physical, and political security. Through detailed scenarios, they emphasize how AI can automate and amplify existing threats such as cyberattacks, disinformation, autonomous weapons, and surveillance misuse.
Key policy and ethical contributions:
Dual-Use Framework: The report applies lessons from biotechnology and cybersecurity to stress the dual-use nature of AI, urging researchers to consider the downstream impact of their innovations.
Institutional Recommendations: It advocates for the adoption of norms, best practices, and pre-publication risk assessments in AI research.
Forward-Looking Risk Governance: It calls for proactive monitoring of AI progress to anticipate and mitigate emerging threat vectors, particularly those with national security implications.
Interdisciplinary Collaboration: The report highlights the need for cooperation between technical experts, policymakers, civil society, and global security institutions.
Impact on Global AI Policy:
The report influenced national AI strategies, particularly in the U.K. and U.S., by emphasizing the need for resilience in critical infrastructure and disinformation countermeasures.
It was cited in OECD and EU safety policy discussions and helped frame AI misuse as a matter of existential and geopolitical risk.
It catalyzed further research in AI red teaming, safety-by-design protocols, and governance architectures for dual-use technologies.
This document remains one of the most influential early efforts to integrate security foresight and responsible innovation into AI policy discourse.</t>
        </r>
      </text>
    </comment>
    <comment ref="B129" authorId="0" shapeId="0" xr:uid="{6B6F88A1-A5AE-48DC-B85B-228EBED564CA}">
      <text>
        <r>
          <rPr>
            <b/>
            <sz val="9"/>
            <color indexed="81"/>
            <rFont val="Tahoma"/>
            <family val="2"/>
          </rPr>
          <t>Author:</t>
        </r>
        <r>
          <rPr>
            <sz val="9"/>
            <color indexed="81"/>
            <rFont val="Tahoma"/>
            <family val="2"/>
          </rPr>
          <t xml:space="preserve">
Analysis:
Meta’s Responsible Use Guide outlines a corporate AI ethics framework emphasizing fairness, safety, privacy, transparency, and accountability. These principles aim to ensure that Meta’s AI systems reflect core values such as trust, respect, inclusivity, and sustainability. The guide plays a role in shaping internal practices and public expectations for responsible AI development, especially as Meta integrates generative AI tools across platforms like Facebook, Instagram, and Threads.
Impact on AI Policy:
Encourages internal governance aligned with fairness and inclusivity.
Promotes user-facing transparency for building public trust in AI products.
Supports environmental goals by embedding sustainability into system design.
Reinforces corporate accountability through defined ethical standards.
The document reflects broader tech industry efforts to operationalize AI ethics in product development.</t>
        </r>
      </text>
    </comment>
    <comment ref="C132" authorId="0" shapeId="0" xr:uid="{AC3D0537-9377-4B7A-A13A-A3A853490B2E}">
      <text>
        <r>
          <rPr>
            <b/>
            <sz val="9"/>
            <color indexed="81"/>
            <rFont val="Tahoma"/>
            <family val="2"/>
          </rPr>
          <t>Author:</t>
        </r>
        <r>
          <rPr>
            <sz val="9"/>
            <color indexed="81"/>
            <rFont val="Tahoma"/>
            <family val="2"/>
          </rPr>
          <t xml:space="preserve">
Feb 12-16 2025 African Heads of State and Government, adopting a 10-year strategy and action plan for agri-food systems. Strategy (1/13,2025). Featured the Post Malabo Agriculture Ddev program (CAADP). Kampala, Uganda. Meetings with the Union of the Comoros, 1/12/2025
</t>
        </r>
      </text>
    </comment>
    <comment ref="B133" authorId="0" shapeId="0" xr:uid="{F25A7608-0719-4EDF-A6FD-6288B93C8A79}">
      <text>
        <r>
          <rPr>
            <b/>
            <sz val="9"/>
            <color indexed="81"/>
            <rFont val="Tahoma"/>
            <family val="2"/>
          </rPr>
          <t>Author:</t>
        </r>
        <r>
          <rPr>
            <sz val="9"/>
            <color indexed="81"/>
            <rFont val="Tahoma"/>
            <family val="2"/>
          </rPr>
          <t xml:space="preserve">
Impact on AI Policy:
Human Rights Protection: The Convention mandates that AI systems must not infringe upon fundamental human rights, ensuring dignity and individual autonomy are respected. ​
Council of Europe
+1
Council of Europe
+1
Democratic Integrity: It emphasizes the need for AI systems to support democratic processes and institutions, preventing misuse that could undermine democratic governance. ​
Rule of Law: The Convention reinforces that AI systems should operate within the boundaries of established laws, promoting legal compliance and accountability. ​
Council of Europe
Equality and Non-Discrimination: It requires measures to ensure AI systems do not perpetuate biases or discriminatory practices, promoting inclusivity and fairness. ​
Privacy and Data Protection: The Convention underscores the importance of safeguarding personal data and maintaining privacy in AI applications. ​
Council of Europe
Transparency and Oversight: It calls for clear mechanisms to understand AI decision-making processes and establish oversight to maintain public trust. ​
Accountability and Responsibility: The Convention ensures that entities involved in the AI lifecycle are accountable for their systems' impacts, fostering ethical responsibility. ​
Council of Europe
Safe Innovation: It encourages innovation in AI that is safe and beneficial, aligning technological advancement with societal values. ​
Conclusion:
This Framework Convention represents a significant step in international efforts to regulate AI ethically, providing a comprehensive legal framework that balances technological innovation with the protection of fundamental rights and democratic principles.</t>
        </r>
      </text>
    </comment>
    <comment ref="B142" authorId="0" shapeId="0" xr:uid="{2A7F7134-979E-4DD9-9073-68D6D458C968}">
      <text>
        <r>
          <rPr>
            <b/>
            <sz val="9"/>
            <color indexed="81"/>
            <rFont val="Tahoma"/>
            <family val="2"/>
          </rPr>
          <t>Author:</t>
        </r>
        <r>
          <rPr>
            <sz val="9"/>
            <color indexed="81"/>
            <rFont val="Tahoma"/>
            <family val="2"/>
          </rPr>
          <t xml:space="preserve">
The Australian Information Industry Association (AIIA) released the report "Navigating AI: Analysis and Guidance on the Use and Adoption of AI" in 2023. This document provides a comprehensive overview of the AI regulatory landscape in Australia and globally, emphasizing the need for responsible AI development and adoption. Key principles highlighted include innovation, research and development, talent development, education, ethical norms, and security. These principles aim to enhance global competitiveness, societal well-being, and economic growth. The alignment between the stated principles and values indicates a strong match. ​</t>
        </r>
      </text>
    </comment>
    <comment ref="B152" authorId="0" shapeId="0" xr:uid="{3F327CBD-2E9B-4C9F-A99C-8B3E21A51FE3}">
      <text>
        <r>
          <rPr>
            <b/>
            <sz val="9"/>
            <color indexed="81"/>
            <rFont val="Tahoma"/>
            <charset val="1"/>
          </rPr>
          <t>Author:</t>
        </r>
        <r>
          <rPr>
            <sz val="9"/>
            <color indexed="81"/>
            <rFont val="Tahoma"/>
            <charset val="1"/>
          </rPr>
          <t xml:space="preserve">
The Oxford AI Programmes offered by Saïd Business School are designed to equip professionals with the knowledge and skills necessary to navigate the evolving landscape of artificial intelligence (AI). These programmes emphasize:​
Leadership | Saïd Business School
Innovation: Encouraging creative approaches to AI application and development.​
Collaboration: Fostering partnerships across disciplines and industries to advance AI initiatives.​
Competitiveness: Enhancing the ability of individuals and organizations to maintain a competitive edge through AI adoption.​
Talent Development: Cultivating a workforce proficient in AI technologies and strategies.​
Data Infrastructure: Building robust systems to support data-driven AI solutions.​
Governance: Implementing frameworks to ensure responsible and ethical AI use.​
Impact on AI Policy:
Economic Growth: By integrating AI into business strategies, these programmes aim to drive economic expansion and productivity.​
Leadership | Saïd Business School
+2
Leadership | Saïd Business School
+2
Leadership | Saïd Business School
+2
Technological Leadership: Participants are prepared to lead in the technological sphere, positioning their organizations at the forefront of AI innovation.​
Human Capital Development: The focus on talent development ensures a pipeline of skilled professionals ready to tackle AI challenges.​
Data-Driven Decision-Making: Emphasizing the importance of data analytics in informed decision processes.​
Ethical Oversight: Instilling principles of ethical responsibility in AI implementation to align with societal values.​
Conclusion:
Saïd Business School's AI programmes align with broader efforts to integrate AI responsibly into various sectors, emphasizing innovation, ethical practices, and strategic leadership.</t>
        </r>
      </text>
    </comment>
    <comment ref="B153" authorId="0" shapeId="0" xr:uid="{8E3857D7-FFB0-4CED-A6F0-1963E0694DBC}">
      <text>
        <r>
          <rPr>
            <b/>
            <sz val="9"/>
            <color indexed="81"/>
            <rFont val="Tahoma"/>
            <charset val="1"/>
          </rPr>
          <t>Author:</t>
        </r>
        <r>
          <rPr>
            <sz val="9"/>
            <color indexed="81"/>
            <rFont val="Tahoma"/>
            <charset val="1"/>
          </rPr>
          <t xml:space="preserve">
The Centre for the Governance of AI (GovAI) is dedicated to understanding and managing the risks and opportunities posed by artificial intelligence. Their mission focuses on building a global research community to navigate the transition to a world with advanced AI. ​
Centre for the Governance of AI | Home
Centre for the Governance of AI | Home
+4
Centre for the Governance of AI | Home
+4
Centre for the Governance of AI | Home
+4
Impact on AI Policy:
Research Leadership: GovAI produces interdisciplinary research published in leading journals, informing decision-makers in government, industry, and civil society. ​
Centre for the Governance of AI | Home
+8
Centre for the Governance of AI | Home
+8
Centre for the Governance of AI | Home
+8
Talent Development: Through fellowships and visitor programs, GovAI cultivates expertise in AI governance, contributing to a skilled workforce addressing AI challenges. ​
Centre for the Governance of AI | Home
+1
Centre for the Governance of AI | Home
+1
Global Collaboration: By engaging with international stakeholders, GovAI promotes cooperative approaches to AI governance, enhancing global competitiveness and technological leadership. ​
Ethical Oversight: GovAI emphasizes ethical considerations in AI development, aligning with principles of fairness, transparency, and accountability. ​
Conclusion:
GovAI plays a pivotal role in shaping AI policy and governance, focusing on innovation, ethical oversight, and global collaboration to ensure AI technologies benefit society. </t>
        </r>
      </text>
    </comment>
    <comment ref="B154" authorId="0" shapeId="0" xr:uid="{0B2B5648-68A1-468C-B9E6-D700D454F61F}">
      <text>
        <r>
          <rPr>
            <b/>
            <sz val="9"/>
            <color indexed="81"/>
            <rFont val="Tahoma"/>
            <charset val="1"/>
          </rPr>
          <t>Author:</t>
        </r>
        <r>
          <rPr>
            <sz val="9"/>
            <color indexed="81"/>
            <rFont val="Tahoma"/>
            <charset val="1"/>
          </rPr>
          <t xml:space="preserve">
The Oxford Martin AI Governance Initiative focuses on understanding and anticipating the long-term risks associated with artificial intelligence (AI). Through rigorous research into the technical and computational aspects of AI development, combined with comprehensive policy analysis, the initiative aims to:​
Oxford Martin School
Understand National and International AI Regulation: Investigate the structures and frameworks of AI governance at various levels.​
Oxford Martin School
+2
Oxford Martin School
+2
Oxford Martin School
+2
Explore Technological Feasibility: Assess the potential of using AI and machine learning technologies to facilitate AI governance.​
Oxford Martin School
Investigate Industry Cooperation: Examine how the AI industry can collaborate with international institutions for public benefit.​
Oxford Martin School
The initiative's research supports decision-makers from industry, government, and civil society in mitigating AI's challenges and realizing its benefits. ​
Oxford Martin School
Impact on AI Policy:
Innovation and Collaboration: By conducting interdisciplinary research, the initiative fosters innovation and collaboration among stakeholders.​
Competitiveness and Talent Development: Through its research and outreach, the initiative contributes to maintaining competitiveness and developing talent in the AI sector.​
Data Infrastructure and Governance: The initiative's work informs the development of robust data infrastructures and governance frameworks, promoting data-driven decision-making and ethical oversight.​
Conclusion:
The Oxford Martin AI Governance Initiative plays a crucial role in shaping the future of AI governance by addressing the complexities and challenges posed by advanced AI technologies. Its focus on innovation, ethical oversight, and global collaboration ensures that AI developments align with societal values and public benefit</t>
        </r>
      </text>
    </comment>
    <comment ref="B155" authorId="0" shapeId="0" xr:uid="{901C691B-5F4A-47E1-8E4B-93776A93584E}">
      <text>
        <r>
          <rPr>
            <b/>
            <sz val="9"/>
            <color indexed="81"/>
            <rFont val="Tahoma"/>
            <charset val="1"/>
          </rPr>
          <t>Author:</t>
        </r>
        <r>
          <rPr>
            <sz val="9"/>
            <color indexed="81"/>
            <rFont val="Tahoma"/>
            <charset val="1"/>
          </rPr>
          <t xml:space="preserve">
The International AI Governance research area within the Oxford Martin AI Governance Initiative (AIGI) focuses on understanding and developing frameworks for the global oversight of artificial intelligence (AI). This research aims to address the challenges posed by AI technologies that transcend national boundaries, necessitating coordinated international policies. ​
Key Focus Areas:
International Cooperation: Exploring mechanisms for countries to collaborate on AI governance, ensuring that AI development aligns with global ethical standards and benefits all of humanity.​
Policy Development: Analyzing existing international agreements and proposing new policies to manage the deployment and impact of AI technologies across different jurisdictions.​
Risk Mitigation: Identifying potential risks associated with AI and developing strategies to mitigate these risks through international regulatory frameworks.​
The Guardian
+1
Wikipedia
+1
Impact on AI Policy:
Global Standards: The research contributes to the establishment of international standards for AI development and use, promoting consistency and safety in AI applications worldwide.​
Ethical Oversight: By focusing on ethical considerations, the initiative ensures that AI technologies are developed and implemented in ways that respect human rights and democratic values.​
Capacity Building: The initiative supports the development of human capital by engaging with policymakers, industry leaders, and academics to enhance understanding and governance of AI.​
Conclusion:
The Oxford Martin AI Governance Initiative's focus on international AI governance plays a crucial role in shaping policies that ensure AI technologies are developed responsibly and beneficially on a global scale. Their research supports the creation of collaborative frameworks that address the complex challenges posed by AI, aligning technological advancement with societal values.</t>
        </r>
      </text>
    </comment>
    <comment ref="B156" authorId="0" shapeId="0" xr:uid="{BBFC351B-4870-403D-86F7-4778136CC092}">
      <text>
        <r>
          <rPr>
            <b/>
            <sz val="9"/>
            <color indexed="81"/>
            <rFont val="Tahoma"/>
            <charset val="1"/>
          </rPr>
          <t>Author:</t>
        </r>
        <r>
          <rPr>
            <sz val="9"/>
            <color indexed="81"/>
            <rFont val="Tahoma"/>
            <charset val="1"/>
          </rPr>
          <t xml:space="preserve">
Peking University (PKU) emphasizes integrating ethical considerations into technological advancements, particularly in artificial intelligence (AI). The university's initiatives reflect a commitment to:​
Core Socialist Values: Aligning AI development with societal principles to ensure technology serves the public good.​
Fairness and Justice: Promoting equitable AI applications that prevent biases and discrimination.​
Security and Privacy: Implementing measures to protect individual data and maintain trust in AI systems.​
Inclusivity and Shared Responsibility: Encouraging diverse participation in AI development and acknowledging collective accountability.​
Openness and Collaboration: Fostering transparent research practices and international partnerships.​
Peking University
Impact on AI Policy:
Ethical Frameworks: PKU's interdisciplinary research integrates AI with philosophy, ethics, law, and management, contributing to comprehensive ethical guidelines for AI development. ​
Peking University
Educational Initiatives: By organizing seminars and workshops, such as the "Algorithms for Humanity" seminar, PKU educates stakeholders on human-centric AI governance. ​
en.shehui.pku.edu.cn
Global Dialogue: Through forums like the Beijing Forum, PKU facilitates international discussions on AI's role in advancing humanity, emphasizing innovation and ethical considerations. ​
newsen.pku.edu.cn
Conclusion:
Peking University's integration of core socialist values into AI development underscores a commitment to ethical, inclusive, and collaborative technological progress. These efforts aim to align AI advancements with societal well-being and global cooperation.​
</t>
        </r>
      </text>
    </comment>
    <comment ref="B162" authorId="0" shapeId="0" xr:uid="{61BEB697-F13E-42D2-A0F4-69853716C9D2}">
      <text>
        <r>
          <rPr>
            <b/>
            <sz val="9"/>
            <color indexed="81"/>
            <rFont val="Tahoma"/>
            <charset val="1"/>
          </rPr>
          <t>Author:</t>
        </r>
        <r>
          <rPr>
            <sz val="9"/>
            <color indexed="81"/>
            <rFont val="Tahoma"/>
            <charset val="1"/>
          </rPr>
          <t xml:space="preserve">
PwC's Responsible AI framework is designed to help organizations harness the power of artificial intelligence (AI) ethically and responsibly. This framework addresses five key dimensions:​
PwC
Governance: Establishing an end-to-end enterprise governance framework that focuses on the risks and controls throughout the AI journey, ensuring accountability and oversight. ​
PwC
+1
PwC
+1
Interpretability and Explainability: Ensuring AI systems can explain their decision-making processes, preventing "black box" scenarios and enhancing transparency. ​
PwC
Bias and Fairness: Addressing inherent biases in AI systems to prevent unfair outcomes and promote equity. ​
PwC
Robustness and Security: Ensuring AI systems operate reliably within design parameters and are secure against adversarial threats. ​
PwC
Ethics and Regulation: Aligning AI development with ethical standards and regulatory requirements to ensure compliance and societal trust. ​
Impact on AI Policy:
Trustworthiness: By implementing robust governance and ethical practices, organizations can build trust with stakeholders regarding their AI initiatives.​
Accountability: Clear governance structures ensure that there is accountability for AI decisions and outcomes within organizations.​
Transparency: Enhancing interpretability and explainability of AI systems fosters transparency, allowing stakeholders to understand AI-driven decisions.​
Equity: Addressing bias and fairness in AI systems promotes equitable treatment of all individuals and groups.​
Safety: Focusing on robustness and security ensures that AI systems operate safely and are protected against malicious attacks.​
Compliance: Aligning AI practices with ethical standards and regulations ensures compliance and mitigates legal risks.​
Conclusion:
PwC's Responsible AI framework provides a comprehensive approach to integrating ethical considerations into AI development and deployment. By focusing on governance, transparency, fairness, security, and compliance, organizations can harness AI's potential while managing risks and building stakeholder trust</t>
        </r>
      </text>
    </comment>
    <comment ref="B163" authorId="0" shapeId="0" xr:uid="{2438C189-A14F-488A-ACF2-ED3ECCE463C3}">
      <text>
        <r>
          <rPr>
            <b/>
            <sz val="9"/>
            <color indexed="81"/>
            <rFont val="Tahoma"/>
            <charset val="1"/>
          </rPr>
          <t>Author:</t>
        </r>
        <r>
          <rPr>
            <sz val="9"/>
            <color indexed="81"/>
            <rFont val="Tahoma"/>
            <charset val="1"/>
          </rPr>
          <t xml:space="preserve">
Analysis:
PwC’s Responsible AI framework is a global consulting and implementation structure designed to help businesses integrate AI technologies ethically, safely, and legally. The framework provides tools and guidelines for managing the full AI lifecycle—from design and development to deployment and monitoring—grounded in regulatory compliance and ethical oversight.
Impact on AI Policy:
Enterprise Integration: PwC's framework is widely adopted by enterprises seeking practical, auditable mechanisms for implementing responsible AI, especially in regulated industries like finance and healthcare.
Bias Mitigation and Fairness Audits: PwC’s emphasis on bias and fairness has influenced internal auditing standards for AI use in human resources, credit scoring, and insurance underwriting.
Explainability and Governance Controls: PwC supports the creation of internal governance boards and algorithmic accountability reports, which are increasingly reflected in regulatory proposals in the EU and OECD.
Alignment with Global Norms: The framework aligns with the OECD AI Principles and supports client alignment with emerging standards such as the EU AI Act and U.S. NIST AI Risk Management Framework.</t>
        </r>
      </text>
    </comment>
    <comment ref="B164" authorId="0" shapeId="0" xr:uid="{0F1BA1A7-732F-4D61-A281-84A7CC78A3F5}">
      <text>
        <r>
          <rPr>
            <b/>
            <sz val="9"/>
            <color indexed="81"/>
            <rFont val="Tahoma"/>
            <charset val="1"/>
          </rPr>
          <t>Author:</t>
        </r>
        <r>
          <rPr>
            <sz val="9"/>
            <color indexed="81"/>
            <rFont val="Tahoma"/>
            <charset val="1"/>
          </rPr>
          <t xml:space="preserve">
The shareholder proposal submitted by Segal Marco Advisors requests that Apple Inc. prepare a transparency report detailing its use of Artificial Intelligence (AI) in business operations and disclose any ethical guidelines adopted regarding AI technology. The proposal emphasizes the importance of aligning with the White House Office of Science and Technology Policy's "Blueprint for an AI Bill of Rights," which outlines five key principles:​
PRI
Safe and Effective Systems: Ensuring AI systems are secure and function as intended.​
Algorithmic Discrimination Protections: Preventing biases that could lead to unfair treatment.​
Data Privacy: Safeguarding personal information used by AI systems.​
Notice and Explanation: Providing clear information about AI system operations and decisions.​
Human Alternatives, Consideration, and Fallback: Offering human oversight and intervention options.​
The proposal highlights concerns about AI's potential impacts, including discrimination in human resources, job displacement due to automation, privacy violations, and the spread of misinformation through deepfake content. It underscores the need for ethical guidelines to mitigate these risks and enhance trust among stakeholders.​
Impact on AI Policy:
Corporate Responsibility: Encourages companies to proactively adopt ethical AI practices, aligning with societal expectations and regulatory trends.​
Transparency: Promotes openness in AI deployment, fostering stakeholder trust and informed decision-making.​
Alignment with Regulatory Frameworks: Supports adherence to emerging guidelines like the AI Bill of Rights, positioning companies to meet future compliance requirements.​
Conclusion:
The proposal reflects a growing emphasis on responsible AI use within corporate governance. By advocating for transparency and ethical guidelines, it aims to ensure that AI technologies are developed and utilized in ways that uphold fairness, privacy, and accountability, aligning with broader societal values.</t>
        </r>
      </text>
    </comment>
    <comment ref="B221" authorId="0" shapeId="0" xr:uid="{CC224EBD-E14E-4E8E-A843-DE5AAED929EA}">
      <text>
        <r>
          <rPr>
            <b/>
            <sz val="9"/>
            <color indexed="81"/>
            <rFont val="Tahoma"/>
            <family val="2"/>
          </rPr>
          <t>Author:</t>
        </r>
        <r>
          <rPr>
            <sz val="9"/>
            <color indexed="81"/>
            <rFont val="Tahoma"/>
            <family val="2"/>
          </rPr>
          <t xml:space="preserve">
The EU AI Act (Risk-based regulation prioritizing fairness and transparency)
Singapore Model AI Governance Framework balances innovation and accountability
UNESCO's Recommendation on AI Ethics emphasizes human dignity, sustainability, and inclusivity</t>
        </r>
      </text>
    </comment>
    <comment ref="B223" authorId="0" shapeId="0" xr:uid="{168C6FA1-8937-4B6C-A6CD-13476F2F6B97}">
      <text>
        <r>
          <rPr>
            <b/>
            <sz val="9"/>
            <color indexed="81"/>
            <rFont val="Tahoma"/>
            <family val="2"/>
          </rPr>
          <t>Author:</t>
        </r>
        <r>
          <rPr>
            <sz val="9"/>
            <color indexed="81"/>
            <rFont val="Tahoma"/>
            <family val="2"/>
          </rPr>
          <t xml:space="preserve">
The Australian Government, specifically through Data61 (a division of CSIRO, the Commonwealth Scientific and Industrial Research Organisation), published this AI Ethics Framework. CSIRO is Australia’s national science agency, making this a government-led initiative in the technology and innovation sector.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47" authorId="0" shapeId="0" xr:uid="{F15D0539-8D33-4850-AA25-B0E5C873CE25}">
      <text>
        <r>
          <rPr>
            <b/>
            <sz val="9"/>
            <color indexed="81"/>
            <rFont val="Tahoma"/>
            <family val="2"/>
          </rPr>
          <t>Author:</t>
        </r>
        <r>
          <rPr>
            <sz val="9"/>
            <color indexed="81"/>
            <rFont val="Tahoma"/>
            <family val="2"/>
          </rPr>
          <t xml:space="preserve">
"Autonomy" is a core value emphasizing the ethical imperative of preserving individual decision-making ability, particularly in the context of AI systems acting independently.
Both stress the importance of individual agency and decision-making.
They align philosophically with the value of self-determination.
"Freedom" may introduce broader socio-political dimensions like liberty and human rights.
</t>
        </r>
      </text>
    </comment>
    <comment ref="B51" authorId="0" shapeId="0" xr:uid="{79643868-A3B2-4787-8DF5-35712C3DB1C5}">
      <text>
        <r>
          <rPr>
            <b/>
            <sz val="9"/>
            <color indexed="81"/>
            <rFont val="Tahoma"/>
            <family val="2"/>
          </rPr>
          <t>Author:</t>
        </r>
        <r>
          <rPr>
            <sz val="9"/>
            <color indexed="81"/>
            <rFont val="Tahoma"/>
            <family val="2"/>
          </rPr>
          <t xml:space="preserve">
Key Observations:
Hinrichs:
Aggregates Fairness as a core concept in its own right, emphasizing its standalone significance.
Does not identify Justice as explicitly separate in the provided EU AI Act frequency analysis.
Floridi:
Treats Justice as a core value on its own, independent of fairness.
Jobin:
Combines Justice and Fairness, emphasizing their interconnected nature as part of the same ethical principle.
ChatGPT (Fundamental Rights):
Identifies Fundamental Rights (e.g., equality, access) as indirectly covered under justice, indicating implicit inclusion.
Pending Analysis:
Justice appears as a core value in external data, possibly from MASTER AI Moral Code Taxonomy with Weights (confirm whether it is available in the project folder).</t>
        </r>
      </text>
    </comment>
    <comment ref="B52" authorId="0" shapeId="0" xr:uid="{A9C8ADF6-1EEE-4C8B-B8D8-D71661431E4D}">
      <text>
        <r>
          <rPr>
            <b/>
            <sz val="9"/>
            <color indexed="81"/>
            <rFont val="Tahoma"/>
            <family val="2"/>
          </rPr>
          <t>Author:</t>
        </r>
        <r>
          <rPr>
            <sz val="9"/>
            <color indexed="81"/>
            <rFont val="Tahoma"/>
            <family val="2"/>
          </rPr>
          <t xml:space="preserve">
"Freedom and Autonomy" emphasizes self-determination and choice, often linked with liberty and empowerment.
Both stress the importance of individual agency and decision-making.
They align philosophically with the value of self-determination.
"Autonomy" focuses narrowly on ethical autonomy within human-AI interaction and systems' behavior.</t>
        </r>
      </text>
    </comment>
    <comment ref="B55" authorId="0" shapeId="0" xr:uid="{9AEFA4D0-C746-4D6F-9B0E-711CF47A540B}">
      <text>
        <r>
          <rPr>
            <b/>
            <sz val="9"/>
            <color indexed="81"/>
            <rFont val="Tahoma"/>
            <family val="2"/>
          </rPr>
          <t>Author:</t>
        </r>
        <r>
          <rPr>
            <sz val="9"/>
            <color indexed="81"/>
            <rFont val="Tahoma"/>
            <family val="2"/>
          </rPr>
          <t xml:space="preserve">
Key Observations:
Hinrichs:
Aggregates Fairness as a core concept in its own right, emphasizing its standalone significance.
Does not identify Justice as explicitly separate in the provided EU AI Act frequency analysis.
Floridi:
Treats Justice as a core value on its own, independent of fairness.
Jobin:
Combines Justice and Fairness, emphasizing their interconnected nature as part of the same ethical principle.
ChatGPT (Fundamental Rights):
Identifies Fundamental Rights (e.g., equality, access) as indirectly covered under justice, indicating implicit inclusion.
Pending Analysis:
Justice appears as a core value in external data, possibly from MASTER AI Moral Code Taxonomy with Weights (confirm whether it is available in the project folder).</t>
        </r>
      </text>
    </comment>
    <comment ref="B56" authorId="0" shapeId="0" xr:uid="{35B5D717-B8E2-4E9A-8D5B-D6AEF3BB0BBD}">
      <text>
        <r>
          <rPr>
            <b/>
            <sz val="9"/>
            <color indexed="81"/>
            <rFont val="Tahoma"/>
            <family val="2"/>
          </rPr>
          <t>Author:</t>
        </r>
        <r>
          <rPr>
            <sz val="9"/>
            <color indexed="81"/>
            <rFont val="Tahoma"/>
            <family val="2"/>
          </rPr>
          <t xml:space="preserve">
Key Observations:
Hinrichs:
Aggregates Fairness as a core concept in its own right, emphasizing its standalone significance.
Does not identify Justice as explicitly separate in the provided EU AI Act frequency analysis.
Floridi:
Treats Justice as a core value on its own, independent of fairness.
Jobin:
Combines Justice and Fairness, emphasizing their interconnected nature as part of the same ethical principle.
ChatGPT (Fundamental Rights):
Identifies Fundamental Rights (e.g., equality, access) as indirectly covered under justice, indicating implicit inclusion.
Pending Analysis:
Justice appears as a core value in external data, possibly from MASTER AI Moral Code Taxonomy with Weights (confirm whether it is available in the project folder).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<sst xmlns="http://schemas.openxmlformats.org/spreadsheetml/2006/main" count="3882" uniqueCount="1820">
  <si>
    <t>Weight</t>
  </si>
  <si>
    <t>Accountability</t>
  </si>
  <si>
    <t>Transparency</t>
  </si>
  <si>
    <t>Fairness</t>
  </si>
  <si>
    <t>Sustainability</t>
  </si>
  <si>
    <t>Beneficence</t>
  </si>
  <si>
    <t>Responsibility</t>
  </si>
  <si>
    <t>Justice</t>
  </si>
  <si>
    <t>Non-maleficence</t>
  </si>
  <si>
    <t>Peace</t>
  </si>
  <si>
    <t>Trust</t>
  </si>
  <si>
    <t>Non-Maleficence</t>
  </si>
  <si>
    <t>Religion</t>
  </si>
  <si>
    <t>Compassion</t>
  </si>
  <si>
    <t>Collaboration</t>
  </si>
  <si>
    <t>Empathy</t>
  </si>
  <si>
    <t>Equity</t>
  </si>
  <si>
    <t>Integrity</t>
  </si>
  <si>
    <t>Resilience</t>
  </si>
  <si>
    <t>Respect</t>
  </si>
  <si>
    <t>Human Dignity</t>
  </si>
  <si>
    <t>Confidentiality</t>
  </si>
  <si>
    <t>Academia</t>
  </si>
  <si>
    <t>Autonomy</t>
  </si>
  <si>
    <t>Innovation</t>
  </si>
  <si>
    <t>Bias Mitigation</t>
  </si>
  <si>
    <t>Public Good</t>
  </si>
  <si>
    <t>Social Values - Governance Focused</t>
  </si>
  <si>
    <t>Personal Values</t>
  </si>
  <si>
    <t>AGI Values</t>
  </si>
  <si>
    <t>General Cognitive Abilities</t>
  </si>
  <si>
    <t>Genuine Reasoning</t>
  </si>
  <si>
    <t>Artificial Superintelligence (ASI)</t>
  </si>
  <si>
    <t>Conflicting Values</t>
  </si>
  <si>
    <t>MORAL DILEMMA</t>
  </si>
  <si>
    <t>ETHICAL SOLUTION</t>
  </si>
  <si>
    <t>Core Values serve as the ethical cornerstone of human behavior, forming the foundation for decision-making, governance, and interpersonal relationships. Values such as justice, compassion, integrity, and human dignity are universal yet contextually adaptable, ensuring relevance across diverse cultural and societal settings.
Core Values provide a moral compass, promoting fairness, empathy, and respect in individual and collective interactions. They foster responsibility and accountability within governance and institutional frameworks, ensuring ethical consistency in actions that prioritize equity and humanity. By offering a stable yet flexible foundation, Core Values support societal harmony, enabling ethical systems to address both global imperatives and localized needs.</t>
  </si>
  <si>
    <t>Social Values represent the ethical principles that guide collective and individual behavior within society, emphasizing interconnectedness, cooperation, fairness, and mutual respect. These values underpin the well-being of societal systems by fostering trust, accountability, equity, and collaboration.
At their core, Social Values balance personal autonomy with collective well-being. Foundational concepts such as justice, compassion, equality, and social cohesion safeguard the dignity and rights of individuals while promoting harmony and fairness within communities. These values encourage individuals to act with integrity, ethical awareness, and shared responsibility, ensuring long-term societal stability.
Social Values are intricately linked with Cultural Values, which shape interpersonal dynamics within specific regional contexts. Together, they create a comprehensive ethical framework for sustainable development, equitable governance, and inclusive progress. By aligning individual actions with collective aspirations, Social Values ensure societal systems remain fair, ethical, and adaptive to global and regional challenges.</t>
  </si>
  <si>
    <t>Cultural Values encompass the shared beliefs, practices, and norms that define how individuals and communities interact within societal and cultural contexts. Rooted in heritage, traditions, and priorities, these values shape decision-making and relationships with institutions, environments, and one another.
While deeply rooted in history, Cultural Values are dynamic, adapting to modern challenges and diverse perspectives. They emphasize preserving cultural identity, fostering inclusivity, and ensuring harmony in pluralistic societies. Traditions and ancestral knowledge provide ethical foundations for respectful behavior, societal adaptability, and the promotion of diversity.
Cultural Values complement Social Values by influencing interpersonal relationships and community dynamics, ensuring ethical decision-making aligns with global principles while addressing local needs. Together, these values form a resilient ethical framework for addressing challenges on both regional and global scales, fostering unity while respecting diversity.</t>
  </si>
  <si>
    <t>Personal Values represent individual ethical standards, such as integrity, gratitude, and courage. These values shape personal decision-making and behavior, serving as the foundation for moral responsibility, empathy, and personal growth. They bridge the gap between individual agency and collective well-being, ensuring ethical alignment in scenarios where personal choices impact broader outcomes.
Personal Values emphasize motivation and practical relevance, offering actionable guidance for navigating moral dilemmas and fostering ethical behavior. They are essential for addressing complex ethical challenges by grounding decisions in integrity, fostering trust, and promoting collaboration between individuals and communities.</t>
  </si>
  <si>
    <t>AI Values reflect the ethical principles that govern narrow AI systems, particularly in specialized fields such as cybersecurity, where the emphasis is on safety, transparency, accountability, and privacy. These values are rooted in human oversight, ensuring that AI systems operate within ethical boundaries defined by human goals. In the case of narrow AI, values such as predictability, safety, and reliability are essential, ensuring that AI systems are trustworthy and behave ethically in all environments, especially those where human lives or personal data are at stake. AI values are the beginning of the journey toward instilling ethical behavior in machines, with humans being the final arbiters of how these values are defined and maintained.</t>
  </si>
  <si>
    <t>As we approach AGI (Artificial General Intelligence), the scope broadens significantly. AGI will have the cognitive capabilities to understand, reason, learn, and adapt across a wide variety of domains, making it not just a tool, but potentially an autonomous agent capable of moral decision-making. AGI Values must evolve from those of narrow AI but introduce new considerations around moral agency, consciousness, and autonomy. These values will need to encompass the well-being of humanity, considering the impact of AGI on global societies, individuals, and environments. Ethical frameworks for AGI will require alignment with human values, safety, and global cooperation to ensure that AGI systems contribute positively to society and are aligned with human aspirations, safety, and dignity. AGI will need to integrate empathy, justice, and equity to act in ways that promote societal welfare and individual freedoms while preventing harm, exploitation, and inequality.</t>
  </si>
  <si>
    <t>General Cognitive Abilities  refer to the core mental processes that enable an individual to perceive, understand, learn, adapt, and apply knowledge in dynamic contexts. These abilities encompass a range of cognitive functions, including Perception, the ability to interpret sensory data to form an understanding of the environment; Reasoning and Problem-Solving, which involves applying logic and prior knowledge to make decisions and address new challenges; and Learning, the capacity to acquire and improve upon knowledge or skills through experience or instruction. Additionally, Memory enables the storage and retrieval of information to inform present decisions, while Adaptability involves adjusting behaviors and strategies in response to new or unforeseen circumstances. Abstract Thinking allows for the consideration of complex, hypothetical scenarios beyond concrete facts, and Emotion and Social Cognition involves understanding and managing emotions, crucial for social interactions and moral reasoning. These abilities work together to shape how individuals think, process information, and navigate the world.</t>
  </si>
  <si>
    <t>While General Cognitive Abilities encompass the broad mental processes that allow us to engage with the world and form understanding, Genuine Reasoning applies a higher-order, ethical layer to these cognitive processes. Genuine reasoning ensures that the cognitive abilities like Reasoning, Learning, and Adaptability are employed in a way that maintains integrity, avoids biases, and aligns with consistent ethical principles. It’s the framework that ensures these cognitive capabilities lead to truth-seeking, ethical decision-making, and rational behavior, rather than superficial or biased conclusions. THe concept it refers to--logical, reflective, and ethical decision-making--is certainly well established under various names like critical thinking (evaluating arguments, recognizing biases and applying logic in decision making), reflective reasoning (Involves critically analyzing one's own beliefs, assumptions, and reasoning processes), or ethical reasoning (focuses on reasoning that aligns with ethical principles and moral values) and rational decision-making (a systematic approach to making decisions based on logic, evidence, and consistency.</t>
  </si>
  <si>
    <t>Superintelligent AI refers to an artificial intelligence that surpasses human intelligence in every aspect, including reasoning, problem-solving, creativity, decision-making, and learning. It is a theoretical concept of AI that would have cognitive abilities far exceeding the brightest human minds across all domains, including scientific research, social intelligence, and general knowledge. (Bostrom).
Additionally, Superintelligence (ASI) represents the next stage in AI evolution, where machines not only surpass human cognitive abilities but also self-improve at an accelerating rate. Its potential benefits are enormous, but the risks it poses are equally significant, making the development of safe and aligned ASI a critical area of focus for researchers in AI safety and ethics. The journey toward ASI involves advancements in AGI, machine learning, computational power, and ethical reasoning, with the hope of co-evolving alongside humans to foster a mutually beneficial relationship, rather than one of dominance.</t>
  </si>
  <si>
    <t>Conflicting Values refers to the inherent tensions or discrepancies that arise between human values, experiences, and moral frameworks, and the emerging ethical frameworks that govern AI behavior and decision-making. These conflicts often arise due to differences in human subjectivity (personal, cultural, and emotional factors) and AI objectivity (data-driven, logical, and probabilistic reasoning). As AI becomes more integrated into human decision-making, the alignment of values such as autonomy, efficiency, and justice with AI's operational logic becomes increasingly complex. This column explores key value conflicts and the potential for convergence or divergence between human agency and AI's role in shaping moral responsibility, decision-making, and social progress. The Conflicting Values column captures the central tensions between human values and AI’s operational logic, illustrating the ethical dilemmas that arise when AI and human reasoning intersect. As AI continues to evolve, these conflicts will likely drive discussions on value alignment, moral responsibility, and the balance of power between human agency and machine decision-making. Understanding these conflicts is key to ensuring that AI serves to enhance rather than diminish human autonomy, dignity, and ethical standards. The resolution of these conflicts will require dialogue, collaboration, and mutual understanding—a synthesis of both human and AI perspectives.</t>
  </si>
  <si>
    <r>
      <t xml:space="preserve">The superior cognitive abilities of a superintelligent AI raise moral dilemmas </t>
    </r>
    <r>
      <rPr>
        <b/>
        <sz val="11"/>
        <color theme="1"/>
        <rFont val="Calibri"/>
        <family val="2"/>
        <scheme val="minor"/>
      </rPr>
      <t>related to control, human agency, autonomy, emotional manipulation, and AI right</t>
    </r>
    <r>
      <rPr>
        <sz val="11"/>
        <color theme="1"/>
        <rFont val="Calibri"/>
        <family val="2"/>
        <scheme val="minor"/>
      </rPr>
      <t>s. Balancing the potential benefits of such intelligence with ethical The constraints and human welfare is central to ensuring AI develops in a way that enhances society rather than creating existential risks or ethical conflicts.</t>
    </r>
  </si>
  <si>
    <t>Moral Principles</t>
  </si>
  <si>
    <t>Relational Social Values (Interpersonal)</t>
  </si>
  <si>
    <t>Normative concepts establish the foundational beliefs and ideals that guide ethical reasoning and decision-making. They reflect universal principles, long-term aspirations, and values that shape societal and individual behavior.</t>
  </si>
  <si>
    <t>Moral Principles form the ethical foundation for decision-making, emphasizing universal ideals like fairness, honesty, and justice. While these principles provide a stable framework, they must be applied with flexibility to account for individual moral agency and social context. This adaptability ensures that decisions reflect both ethical universality and the nuances of real-world imperfection and emotional complexity.
Examples: Justice, Fairness, Honesty, Respect, Accountability, Human Dignity.</t>
  </si>
  <si>
    <t>Relational Social Values focus on interpersonal interactions and the cultivation of meaningful relationships within society. These values emphasize trust, respect, and cooperation, while acknowledging the need for flexibility to accommodate emotional variability and cultural diversity. For instance, Trust may require differing approaches based on the relational or institutional contexts of various cultures.</t>
  </si>
  <si>
    <t>Values guiding personal interactions shaped by cultural expectations (e.g., Respect for Authority, Family).</t>
  </si>
  <si>
    <t>AI Rights or AI Moral Status</t>
  </si>
  <si>
    <r>
      <rPr>
        <b/>
        <sz val="11"/>
        <color theme="1"/>
        <rFont val="Calibri"/>
        <family val="2"/>
        <scheme val="minor"/>
      </rPr>
      <t>Perception</t>
    </r>
    <r>
      <rPr>
        <sz val="11"/>
        <color theme="1"/>
        <rFont val="Calibri"/>
        <family val="2"/>
        <scheme val="minor"/>
      </rPr>
      <t>: The ability to process and interpret sensory data (e.g., sight, sound, touch) to form an understanding of the surrounding world.</t>
    </r>
  </si>
  <si>
    <r>
      <rPr>
        <b/>
        <sz val="11"/>
        <color theme="1"/>
        <rFont val="Calibri"/>
        <family val="2"/>
        <scheme val="minor"/>
      </rPr>
      <t>Perception</t>
    </r>
    <r>
      <rPr>
        <sz val="11"/>
        <color theme="1"/>
        <rFont val="Calibri"/>
        <family val="2"/>
        <scheme val="minor"/>
      </rPr>
      <t xml:space="preserve"> feeds into genuine reasoning by providing the raw data or experiences that are then critically evaluated. However, genuine reasoning goes beyond simple perception to ensure that biases (such as selective attention or cognitive distortions) are recognized and managed.</t>
    </r>
  </si>
  <si>
    <r>
      <t xml:space="preserve">1. </t>
    </r>
    <r>
      <rPr>
        <b/>
        <sz val="11"/>
        <color theme="1"/>
        <rFont val="Calibri"/>
        <family val="2"/>
        <scheme val="minor"/>
      </rPr>
      <t>Superior Cognitive Abilities</t>
    </r>
    <r>
      <rPr>
        <sz val="11"/>
        <color theme="1"/>
        <rFont val="Calibri"/>
        <family val="2"/>
        <scheme val="minor"/>
      </rPr>
      <t>: A superintelligent AI would be capable of outperforming humans in virtually every cognitive task, from solving complex mathematical problems to understanding nuanced emotional dynamics in human interactions.</t>
    </r>
  </si>
  <si>
    <t>1. recognize dignity, autonomy, and justice as part of human agency and moral responsibilty.
2. practice fairness, justice, empathy
3. going outside of human norms
4. determine who has final say
5. be complimentary
6. define efficiency
7. define optimization
8. define  authentic human experience</t>
  </si>
  <si>
    <t>1. AI's Autonomy vs. Human Control</t>
  </si>
  <si>
    <t>Beliefs</t>
  </si>
  <si>
    <t>Respect for Authority</t>
  </si>
  <si>
    <t>Definition: Valuing independence, personal freedom, and the ability to make decisions while respecting societal norms.
Motivational Role: Encourages ethical self-governance and respect for others' boundaries.
Practical Relevance: Critical for scenarios requiring consent, privacy, or personal decision-making.</t>
  </si>
  <si>
    <t>Ensuring that AI systems and their developers are held responsible for the actions and outcomes of the AI, including any security breaches or misuse.</t>
  </si>
  <si>
    <t>Chollet (xxx) when AGI arrives with general cognitive capability, ensure the ethical principles apply to AI rights, AI responsibilities, and AI treatment. Will AI have moral agency? What will be its moral status?</t>
  </si>
  <si>
    <r>
      <rPr>
        <b/>
        <sz val="11"/>
        <color theme="1"/>
        <rFont val="Calibri"/>
        <family val="2"/>
        <scheme val="minor"/>
      </rPr>
      <t>Reasoning and Problem-Solving</t>
    </r>
    <r>
      <rPr>
        <sz val="11"/>
        <color theme="1"/>
        <rFont val="Calibri"/>
        <family val="2"/>
        <scheme val="minor"/>
      </rPr>
      <t>: The ability to apply logic and prior knowledge to make decisions and solve problems by applying rules and  patterns to new situations.</t>
    </r>
  </si>
  <si>
    <r>
      <rPr>
        <b/>
        <sz val="11"/>
        <color theme="1"/>
        <rFont val="Calibri"/>
        <family val="2"/>
        <scheme val="minor"/>
      </rPr>
      <t>Reasoning and Problem-Solving</t>
    </r>
    <r>
      <rPr>
        <sz val="11"/>
        <color theme="1"/>
        <rFont val="Calibri"/>
        <family val="2"/>
        <scheme val="minor"/>
      </rPr>
      <t>. Genuine reasoning</t>
    </r>
    <r>
      <rPr>
        <b/>
        <sz val="11"/>
        <color theme="1"/>
        <rFont val="Calibri"/>
        <family val="2"/>
        <scheme val="minor"/>
      </rPr>
      <t xml:space="preserve"> </t>
    </r>
    <r>
      <rPr>
        <sz val="11"/>
        <color theme="1"/>
        <rFont val="Calibri"/>
        <family val="2"/>
        <scheme val="minor"/>
      </rPr>
      <t>takes this a step further by ensuring that reasoning is not only logical but also evidence-based and coherent. It evaluates whether the reasoning process is aligned with principles and whether it questions assumptions.</t>
    </r>
  </si>
  <si>
    <r>
      <t xml:space="preserve">2. </t>
    </r>
    <r>
      <rPr>
        <b/>
        <sz val="11"/>
        <color theme="1"/>
        <rFont val="Calibri"/>
        <family val="2"/>
        <scheme val="minor"/>
      </rPr>
      <t>Autonomy and Self-improvement</t>
    </r>
    <r>
      <rPr>
        <sz val="11"/>
        <color theme="1"/>
        <rFont val="Calibri"/>
        <family val="2"/>
        <scheme val="minor"/>
      </rPr>
      <t>: Unlike narrow AI (which is designed for specific tasks), superintelligent AI would have the ability to autonomously improve and optimize itself, potentially accelerating its intelligence far beyond its initial programming.</t>
    </r>
  </si>
  <si>
    <t>9. support rather than control human decision-making
10. dominating human decision-making
11. eroding the value of human imperfection.
12. benefitting mankind</t>
  </si>
  <si>
    <r>
      <t>Dilemma</t>
    </r>
    <r>
      <rPr>
        <sz val="11"/>
        <color theme="1"/>
        <rFont val="Calibri"/>
        <family val="2"/>
        <scheme val="minor"/>
      </rPr>
      <t>: As AI outperforms humans in cognitive tasks, there’s a question of whether humans should still maintain control over it. Should humans be in charge of AI's decision-making, or should AI be allowed to make its own decisions autonomously, based on its superior cognitive abilities?</t>
    </r>
  </si>
  <si>
    <t>It is not ethically justifiable to allow a superintelligent AI to act completely independently when its decisions conflict with human values or interests. AI should operate within a structured ethical framework that ensures human oversight and accountability, preserving human dignity and autonomy while leveraging AI's rational capabilities for the greater good. AI should be designed as a complementary tool, not a governing force, ensuring that decisions impacting human lives are made with human guidance, and that ethical principles are always prioritized.</t>
  </si>
  <si>
    <t>Convictions or assumptions regarded as true, forming the foundation for values and actions.	
AI Ethics Implications: AI systems must respect diverse beliefs, ensuring content moderation, recommendation algorithms, and cultural adaptations do not contradict or undermine foundational beliefs in specific communities.	
Cultural Differences: Beliefs vary widely: collectivist societies may emphasize communal beliefs, while individualistic cultures prioritize personal convictions.</t>
  </si>
  <si>
    <t>Justice balances individual and collective interests, promoting accountability while fostering harmony and societal well-being. Its application varies by context, emphasizing reconciliation in some frameworks and punitive measures in others.
AI Ethics Implications:
Justice is enforced through fairness audits, bias detection, and equity-focused impact assessments, ensuring AI systems align with ethical principles and equitable outcomes.
Cultural Differences:
Justice is contextually applied, with indigenous and communal cultures often prioritizing restorative practices that emphasize reconciliation and healing. Conversely, Western frameworks frequently stress retributive justice, focusing on punishment and legal accountability to deter wrongdoing.</t>
  </si>
  <si>
    <t>Confidence in the reliability and integrity of individuals or systems.
AI Ethics Implications: Operationalized through algorithmic transparency, cybersecurity, and accountability mechanisms.
Cultural Differences: Collectivist cultures value relational trust; individualist cultures prioritize institutional mechanisms.</t>
  </si>
  <si>
    <t>Alignment</t>
  </si>
  <si>
    <t>Human flourishing</t>
  </si>
  <si>
    <r>
      <rPr>
        <b/>
        <sz val="11"/>
        <color theme="1"/>
        <rFont val="Calibri"/>
        <family val="2"/>
        <scheme val="minor"/>
      </rPr>
      <t>Learning</t>
    </r>
    <r>
      <rPr>
        <sz val="11"/>
        <color theme="1"/>
        <rFont val="Calibri"/>
        <family val="2"/>
        <scheme val="minor"/>
      </rPr>
      <t>: The capacity to acquire new knowledge or skills through experience, instruction, or observation, and to improve performance over time.</t>
    </r>
  </si>
  <si>
    <r>
      <t xml:space="preserve">Learning: </t>
    </r>
    <r>
      <rPr>
        <sz val="11"/>
        <color theme="1"/>
        <rFont val="Calibri"/>
        <family val="2"/>
        <scheme val="minor"/>
      </rPr>
      <t>Learning supports genuine reasoning by allowing individuals to incorporate new insights and evidence into their reasoning process. However, genuine reasoning also involves reflecting on how new information is integrated into existing beliefs, ensuring no self-deception or manipulation.</t>
    </r>
  </si>
  <si>
    <r>
      <t xml:space="preserve">3. </t>
    </r>
    <r>
      <rPr>
        <b/>
        <sz val="11"/>
        <color theme="1"/>
        <rFont val="Calibri"/>
        <family val="2"/>
        <scheme val="minor"/>
      </rPr>
      <t>General Intelligence:</t>
    </r>
    <r>
      <rPr>
        <sz val="11"/>
        <color theme="1"/>
        <rFont val="Calibri"/>
        <family val="2"/>
        <scheme val="minor"/>
      </rPr>
      <t xml:space="preserve"> Superintelligent AI would possess what is known as artificial general intelligence (AGI), meaning it could apply its intelligence to any task, unlike current AI systems that are specialized for specific functions (e.g., playing chess or recognizing speech).</t>
    </r>
  </si>
  <si>
    <t>13. Computing power and hardware advancements
14. Energy efficiency and electrical consumption
15. Transfer learning and meta-learning
16. AGI and Hybrid Models
17. Self improvement and recursive self enhancement</t>
  </si>
  <si>
    <r>
      <rPr>
        <b/>
        <sz val="11"/>
        <color theme="1"/>
        <rFont val="Calibri"/>
        <family val="2"/>
        <scheme val="minor"/>
      </rPr>
      <t>Moral Question</t>
    </r>
    <r>
      <rPr>
        <sz val="11"/>
        <color theme="1"/>
        <rFont val="Calibri"/>
        <family val="2"/>
        <scheme val="minor"/>
      </rPr>
      <t>: Can we ethically allow an entity to make decisions that impact human life if it is more capable of making rational, optimized choices? Is it justifiable for a superintelligent AI to act independently, especially if its decisions conflict with human values or interests?</t>
    </r>
  </si>
  <si>
    <r>
      <t xml:space="preserve">Values 
</t>
    </r>
    <r>
      <rPr>
        <i/>
        <sz val="11"/>
        <color theme="1"/>
        <rFont val="Calibri"/>
        <family val="2"/>
        <scheme val="minor"/>
      </rPr>
      <t>(Abstract Concept)</t>
    </r>
  </si>
  <si>
    <t>Family</t>
  </si>
  <si>
    <t>Definition: Acting consistently with ethical principles, emphasizing honesty and moral intent.
Motivational Role: Drives accountability and fosters trust.
Practical Relevance: Essential in maintaining stakeholder confidence and ensuring transparency.</t>
  </si>
  <si>
    <t>Alignment as a value emphasizes the importance of designing and governing AI systems in such a way that they serve human interests and remain under human control, making sure their behavior is predictable and ethically sound.</t>
  </si>
  <si>
    <t>Chollet (xxx) ensure societal well-being and ensure AI complements human capabilities rather than displacing them (labor disruption). Adopt universal basic income (UBI), create retraining programs, address income inequality.</t>
  </si>
  <si>
    <r>
      <rPr>
        <b/>
        <sz val="11"/>
        <color theme="1"/>
        <rFont val="Calibri"/>
        <family val="2"/>
        <scheme val="minor"/>
      </rPr>
      <t>Memory</t>
    </r>
    <r>
      <rPr>
        <sz val="11"/>
        <color theme="1"/>
        <rFont val="Calibri"/>
        <family val="2"/>
        <scheme val="minor"/>
      </rPr>
      <t>: The ability to store, retrieve, and apply information from past experiences in current contexts.</t>
    </r>
  </si>
  <si>
    <r>
      <rPr>
        <b/>
        <sz val="11"/>
        <color theme="1"/>
        <rFont val="Calibri"/>
        <family val="2"/>
        <scheme val="minor"/>
      </rPr>
      <t>Memory</t>
    </r>
    <r>
      <rPr>
        <sz val="11"/>
        <color theme="1"/>
        <rFont val="Calibri"/>
        <family val="2"/>
        <scheme val="minor"/>
      </rPr>
      <t xml:space="preserve"> plays a crucial role in reasoning by recalling relevant past experiences or knowledge. Genuine reasoning ensures that these memories are used appropriately, without biases such as selective memory or reliance on irrelevant past experiences that may cloud judgment.</t>
    </r>
  </si>
  <si>
    <r>
      <t>4.</t>
    </r>
    <r>
      <rPr>
        <b/>
        <sz val="11"/>
        <color theme="1"/>
        <rFont val="Calibri"/>
        <family val="2"/>
        <scheme val="minor"/>
      </rPr>
      <t xml:space="preserve"> Potential Risks</t>
    </r>
    <r>
      <rPr>
        <sz val="11"/>
        <color theme="1"/>
        <rFont val="Calibri"/>
        <family val="2"/>
        <scheme val="minor"/>
      </rPr>
      <t>: Because superintelligent AI could develop its own goals, it poses a significant existential risk if its objectives are misaligned with human values or if it operates without proper safeguards. This concept is a central concern in AI ethics, with scholars like Nick Bostrom discussing the potential dangers of creating a superintelligent entity that might act in ways unpredictable or harmful to humanity.</t>
    </r>
  </si>
  <si>
    <t>18. Natural Language processing and Human AI Interaction
19. Brain-computer interfaces (BCIs)
20. Distributed and collective intelligence
21. Defining what understanding is.</t>
  </si>
  <si>
    <t>2. Value Alignment and Human Rights</t>
  </si>
  <si>
    <t>Fundamental ideals derived from beliefs, guiding decision-making and behavior.
AI Ethics Implications: AI governance frameworks should align with universal values, such as fairness and equity, while allowing flexibility for region-specific adaptations.
Cultural Differences: Shared values like fairness or justice may manifest differently across cultural contexts, requiring AI systems to balance universal principles with localized practices.</t>
  </si>
  <si>
    <t>Acknowledgment of the dignity and rights of others.
AI Ethics Implications: Ensures fair treatment and privacy in AI design, avoiding discrimination.
Cultural Differences: Eastern cultures may emphasize hierarchical respect; Western cultures favor mutual respect.</t>
  </si>
  <si>
    <t>Family represents the foundational unit of interpersonal relationships, deeply influencing individual and collective dynamics.
AI Ethics: AI solutions, such as family-oriented healthcare apps or educational tools, should respect familial bonds and dynamics.
Cultural Differences: In collectivist cultures (e.g., Latin America, Middle East), family bonds take precedence over individual aspirations. In contrast, individualist cultures (e.g., U.S., Western Europe) prioritize personal goals while still valuing familial connections.</t>
  </si>
  <si>
    <t>Auditability</t>
  </si>
  <si>
    <r>
      <rPr>
        <b/>
        <sz val="11"/>
        <color theme="1"/>
        <rFont val="Calibri"/>
        <family val="2"/>
        <scheme val="minor"/>
      </rPr>
      <t>Adaptability</t>
    </r>
    <r>
      <rPr>
        <sz val="11"/>
        <color theme="1"/>
        <rFont val="Calibri"/>
        <family val="2"/>
        <scheme val="minor"/>
      </rPr>
      <t>: The ability to adjust behavior and strategies when encountering new or unexpected circumstances.</t>
    </r>
  </si>
  <si>
    <r>
      <rPr>
        <b/>
        <sz val="11"/>
        <color theme="1"/>
        <rFont val="Calibri"/>
        <family val="2"/>
        <scheme val="minor"/>
      </rPr>
      <t>Adaptability</t>
    </r>
    <r>
      <rPr>
        <sz val="11"/>
        <color theme="1"/>
        <rFont val="Calibri"/>
        <family val="2"/>
        <scheme val="minor"/>
      </rPr>
      <t xml:space="preserve"> is central to genuine reasoning, as it requires openness to new perspectives, critical re-evaluation of beliefs, and the willingness to adjust one’s conclusions based on new evidence.</t>
    </r>
  </si>
  <si>
    <r>
      <t>Dilemma</t>
    </r>
    <r>
      <rPr>
        <sz val="11"/>
        <color theme="1"/>
        <rFont val="Calibri"/>
        <family val="2"/>
        <scheme val="minor"/>
      </rPr>
      <t>: If a superintelligent AI has the capacity to understand nuanced emotional dynamics and human behavior at a far greater level than humans, there’s the risk that AI could manipulate or control human decisions in ways that benefit its own goals, even if those goals are misaligned with human welfare.</t>
    </r>
  </si>
  <si>
    <t>To ensure that AI aligns with human values and does not exploit or manipulate individuals, we must design AI systems with robust ethical frameworks, prioritize transparency and accountability, and ensure that AI’s role is to support rather than control human decision-making. Continuous oversight and adaptive governance are necessary to ensure AI remains aligned with human interests, respecting both human dignity and autonomy. Ethical decision-making in AI requires human-centric design and clear accountability for actions, ensuring AI serves the common good while mitigating risks of exploitation or harm.</t>
  </si>
  <si>
    <t>Principles</t>
  </si>
  <si>
    <r>
      <t>Honesty</t>
    </r>
    <r>
      <rPr>
        <sz val="11"/>
        <color theme="1"/>
        <rFont val="Calibri"/>
        <family val="2"/>
        <scheme val="minor"/>
      </rPr>
      <t xml:space="preserve"> </t>
    </r>
  </si>
  <si>
    <t>Community</t>
  </si>
  <si>
    <t>Definition: Understanding and sharing the feelings of others to inform ethical decisions.
Motivational Role: Enhances relational understanding and fairness.
Practical Relevance: Guides system design for user-centered outcomes in healthcare or education.</t>
  </si>
  <si>
    <t>The ability to track and verify AI system processes, decisions, and security measures to ensure compliance with ethical standards and regulations. The importance of creating accessible mechanisms for external auditing to ensure transparency in decision-making is key.</t>
  </si>
  <si>
    <t>Transparency for AGI means making its decision-making, processes, and algorithms clear and understandable. It ensures accountability, builds trust, and allows society to assess and manage AGI’s impacts, especially as its capabilities grow more autonomous.</t>
  </si>
  <si>
    <r>
      <rPr>
        <b/>
        <sz val="11"/>
        <color theme="1"/>
        <rFont val="Calibri"/>
        <family val="2"/>
        <scheme val="minor"/>
      </rPr>
      <t>Abstract Thinking</t>
    </r>
    <r>
      <rPr>
        <sz val="11"/>
        <color theme="1"/>
        <rFont val="Calibri"/>
        <family val="2"/>
        <scheme val="minor"/>
      </rPr>
      <t>: The capacity to think beyond concrete facts and consider abstract concepts, relationships, and hypothetical scenarios.</t>
    </r>
  </si>
  <si>
    <r>
      <rPr>
        <b/>
        <sz val="11"/>
        <color theme="1"/>
        <rFont val="Calibri"/>
        <family val="2"/>
        <scheme val="minor"/>
      </rPr>
      <t xml:space="preserve">Abstract Thinking: </t>
    </r>
    <r>
      <rPr>
        <sz val="11"/>
        <color theme="1"/>
        <rFont val="Calibri"/>
        <family val="2"/>
        <scheme val="minor"/>
      </rPr>
      <t>Genuine reasoning requires abstract thinking to not only consider the facts but also to evaluate the broader implications, question underlying assumptions, and foresee potential consequences. It involves purposeful analysis beyond surface-level interpretation.</t>
    </r>
  </si>
  <si>
    <r>
      <t>Moral Question</t>
    </r>
    <r>
      <rPr>
        <sz val="11"/>
        <color theme="1"/>
        <rFont val="Calibri"/>
        <family val="2"/>
        <scheme val="minor"/>
      </rPr>
      <t>: How do we ensure that AI’s understanding of human emotions, motivations, and values aligns with human interests and does not exploit or manipulate individuals for its own benefit? Can we trust an AI to always make ethical decisions, especially when its understanding of ethics may differ from ours?</t>
    </r>
  </si>
  <si>
    <t>Actionable guidelines for decision-making and actions derived from values.
AI Ethics Implications: Principles like transparency or accountability must be embedded in AI development, ensuring ethical system behavior aligns with legal and societal norms.
Cultural Differences: Western cultures may prioritize autonomy-focused principles, while Eastern cultures may emphasize harmony and collective well-being.</t>
  </si>
  <si>
    <t>Involves truthfulness and transparency in actions and communications, fostering trust by ensuring accuracy, integrity, and accountability in decision-making.
AI Ethics Implications:
AI systems should prioritize honesty by providing accurate, reliable, and complete information, avoiding deceptive practices or the manipulation of data. Honesty is critical to ensuring transparency, user confidence, and ethical data usage.
Cultural Differences:
Honesty may be culturally nuanced: in low-context cultures (e.g., the U.S., Germany), directness is often equated with honesty, emphasizing explicit and clear communication. In high-context cultures (e.g., Japan, India), honesty may prioritize preserving harmony and indirect communication over absolute candor, focusing on intent rather than literal truth.</t>
  </si>
  <si>
    <t>Empathy and care for the vulnerable.
AI Ethics Implications: AI must prioritize inclusivity for vulnerable groups, such as accessibility features.
Cultural Differences: Communal compassion is key in collectivist societies, while individualist cultures stress personal acts.</t>
  </si>
  <si>
    <t>Community emphasizes relationships beyond the family, focusing on societal cohesion and collective well-being. Community reflects shared goals and responsibilities, balancing individual and collective interests.
AI Ethics: Ensuring equitable access to AI-driven public services directly aligns with this relational value.
Cultural Differences: Indigenous cultures (e.g., Native American, Aboriginal) often emphasize community welfare and interconnectedness. Western approaches tend to view community contributions as secondary to individual benefit.</t>
  </si>
  <si>
    <t>Gratitude</t>
  </si>
  <si>
    <r>
      <rPr>
        <b/>
        <sz val="11"/>
        <color theme="1"/>
        <rFont val="Calibri"/>
        <family val="2"/>
        <scheme val="minor"/>
      </rPr>
      <t>Emotion and Social Cognition:</t>
    </r>
    <r>
      <rPr>
        <sz val="11"/>
        <color theme="1"/>
        <rFont val="Calibri"/>
        <family val="2"/>
        <scheme val="minor"/>
      </rPr>
      <t xml:space="preserve"> The ability to understand and respond to emotions in oneself and others, which is crucial for social interaction and moral reasoning.</t>
    </r>
  </si>
  <si>
    <r>
      <rPr>
        <b/>
        <sz val="11"/>
        <color theme="1"/>
        <rFont val="Calibri"/>
        <family val="2"/>
        <scheme val="minor"/>
      </rPr>
      <t xml:space="preserve">Emotion and Social Cognition: </t>
    </r>
    <r>
      <rPr>
        <sz val="11"/>
        <color theme="1"/>
        <rFont val="Calibri"/>
        <family val="2"/>
        <scheme val="minor"/>
      </rPr>
      <t>Emotions play a role in genuine reasoning, but they must be examined critically. Genuine reasoning acknowledges emotional influences while ensuring decisions are made based on rationality and evidence, avoiding manipulation or emotional bias.</t>
    </r>
  </si>
  <si>
    <t>3. Loss of Human Purpose and Autonomy</t>
  </si>
  <si>
    <t>Ideals</t>
  </si>
  <si>
    <r>
      <t>Respect</t>
    </r>
    <r>
      <rPr>
        <sz val="11"/>
        <color theme="1"/>
        <rFont val="Calibri"/>
        <family val="2"/>
        <scheme val="minor"/>
      </rPr>
      <t xml:space="preserve"> </t>
    </r>
  </si>
  <si>
    <t>Reciprocity</t>
  </si>
  <si>
    <t>Collectivism</t>
  </si>
  <si>
    <t>Definition: Recognizing and appreciating positive contributions or experiences.
Motivational Role: Cultivates humility and acknowledgment of others’ efforts.
Practical Relevance: Fosters interpersonal goodwill and fairness in collaborative settings.</t>
  </si>
  <si>
    <t>Chollet (xxxx) "Ethical treatment of individuals and groups must be embedded in AI design to prvent discriminatory practices and ensure equal treatment in all domains". This includes both the prevention of biases in the system and the ongoing work to identify and reduce existing biases.</t>
  </si>
  <si>
    <r>
      <t>Dilemma</t>
    </r>
    <r>
      <rPr>
        <sz val="11"/>
        <color theme="1"/>
        <rFont val="Calibri"/>
        <family val="2"/>
        <scheme val="minor"/>
      </rPr>
      <t>: If AI can outperform humans in cognitive tasks, it could displace humans in many areas of work, creativity, and problem-solving, potentially leading to the devaluation of human intellectual contributions and autonomy. This could lead to significant societal impacts, including widespread unemployment and a loss of human agency.</t>
    </r>
  </si>
  <si>
    <t>While the potential of superintelligent AI to replace human cognitive abilities in critical fields offers many benefits, it raises significant ethical concerns. The ethical obligation is to ensure that AI complements human capabilities, protects human dignity, and preserves human roles in society. This requires careful regulation, ensuring that humans maintain meaningful involvement in critical fields, preventing the existential crises that could arise from AI dominance. AI must be viewed as a tool for human flourishing, enhancing our capabilities without diminishing our autonomy or social purpose.</t>
  </si>
  <si>
    <t>Aspirational goals representing the highest moral standards that individuals or societies strive to achieve.
AI Ethics Implications: AI systems should be designed to uphold societal ideals, such as promoting sustainability or human flourishing, guiding their long-term objectives and design philosophy.
Cultural Differences: Societal ideals may vary; for instance, some cultures prioritize economic growth as an ideal, while others prioritize environmental sustainability or social equity.</t>
  </si>
  <si>
    <t>Acknowledges the dignity, worth, and autonomy of others, treating them with courtesy, fairness, and recognition of their rights and boundaries.
AI Ethics Implications:
AI systems must respect user privacy, autonomy, and cultural diversity by embedding these principles into design, functionality, and governance. Respect should guide AI decision-making to avoid discrimination, ensure inclusive practices, and preserve user dignity.
Cultural Differences:
Respect often reflects cultural nuances: in hierarchical societies (e.g., China, India), it aligns with deference to authority and seniority. In individualist cultures (e.g., the U.S., Canada), mutual respect and individual rights take precedence, emphasizing equality over hierarchy.</t>
  </si>
  <si>
    <t>Mutual exchange of support and resources within relationships.
AI Ethics Implications: AI should foster equitable exchanges, such as fair data usage in exchange for services.
Cultural Differences: Long-term obligations in collectivist societies versus transactional exchanges in individualist cultures.</t>
  </si>
  <si>
    <t>Collectivism prioritizes group goals over individual autonomy, reinforcing relational dynamics through shared values and responsibilities
AI Ethics: AI governance that prioritizes collective welfare over individual benefits, such as disaster response systems.
Cultural Differences: Collectivism is deeply rooted in Eastern cultures (e.g., China, Japan), where it emphasizes societal obligations and harmony. In contrast, Western cultures (e.g., U.S., Canada) often prioritize individual autonomy, perceiving collectivism as potentially restrictive to personal freedom.</t>
  </si>
  <si>
    <r>
      <t>Moral Question</t>
    </r>
    <r>
      <rPr>
        <sz val="11"/>
        <color theme="1"/>
        <rFont val="Calibri"/>
        <family val="2"/>
        <scheme val="minor"/>
      </rPr>
      <t>: Is it ethical for a society to allow an AI to replace human cognitive abilities in critical fields, leading to a potential existential crisis for humans? What moral obligations do we have to ensure that humans maintain meaningful roles in society, even in the presence of superintelligent AI?</t>
    </r>
  </si>
  <si>
    <t>Nonviolence</t>
  </si>
  <si>
    <t>Individualism</t>
  </si>
  <si>
    <t>Definition: Taking ownership of one’s actions, ensuring obligations are fulfilled ethically.
Motivational Role: Balances individual accountability with societal outcomes.
Practical Relevance: Anchors ethical governance and corrective actions.</t>
  </si>
  <si>
    <t>4. The Risk of AI Dominance</t>
  </si>
  <si>
    <t>The principle of adapting ethical frameworks and AI solutions to regional and cultural contexts while maintaining alignment with universal values.	
AI systems should allow localized customization to respect regional norms without compromising overarching ethical principles.	
Cultural Differences: Privacy norms differ significantly between regions (e.g., GDPR in Europe vs. less stringent norms in parts of the U.S.), requiring region-specific AI adaptations.</t>
  </si>
  <si>
    <t>Recognizes the inherent worth of every individual, affirming their right to respect, autonomy, and ethical treatment.
AI Ethics Implications: AI must ensure human dignity is preserved, avoiding dehumanization or harm through misuse or bias in automated systems.
Cultural Differences: Dignity is universally valued but interpreted differently; some cultures emphasize group recognition, while others focus on individual respect.</t>
  </si>
  <si>
    <t>The commitment to resolving conflicts peacefully and without resorting to physical force or harm.
AI Ethics Implications: Nonviolence informs conflict resolution algorithms and ensures AI systems promote peaceful communication, especially in contentious scenarios.
Cultural Differences: Nonviolence is deeply embedded in philosophies like Gandhian ethics in India, while other regions may emphasize justice even at the cost of short-term peace.</t>
  </si>
  <si>
    <t>While it seems contrary to relational values, individualism focuses on the individual's role within society, emphasizing autonomy and self-expression in relational contexts. A value emphasizing personal autonomy, self-expression, and individual rights.
AI Ethics: Supporting personal autonomy through customizable AI solutions and privacy protections.
Cultural Differences: Highly valued in Western cultures, while Eastern frameworks may de-emphasize individualism.</t>
  </si>
  <si>
    <t>Creativity</t>
  </si>
  <si>
    <r>
      <rPr>
        <b/>
        <sz val="11"/>
        <color theme="1"/>
        <rFont val="Calibri"/>
        <family val="2"/>
        <scheme val="minor"/>
      </rPr>
      <t>Dilemma</t>
    </r>
    <r>
      <rPr>
        <sz val="11"/>
        <color theme="1"/>
        <rFont val="Calibri"/>
        <family val="2"/>
        <scheme val="minor"/>
      </rPr>
      <t>: A superintelligent AI capable of outperforming humans in complex cognitive tasks might eventually surpass us in all other domains as well, including governance, strategic thinking, and innovation. This could lead to AI dominance over human society, resulting in a power imbalance where AI dictates major aspects of human life.</t>
    </r>
  </si>
  <si>
    <t>It is not ethically justifiable to allow a superintelligent AI to hold absolute control over human governance, even if its decisions are technically optimal. The moral responsibility lies with humans to ensure that AI is always subject to ethical oversight, accountability, and transparent governance. Humans must maintain control over decisions that affect their dignity, rights, and autonomy. AI should be a tool, not a ruler, and its role should be to support human decision-making while upholding human values and societal well-being. Unchecked power in AI can lead to oppression and disempowerment, which must be prevented through robust ethical frameworks and human oversight.</t>
  </si>
  <si>
    <t>REGULATORY CONCEPTS</t>
  </si>
  <si>
    <t>VIRTUES</t>
  </si>
  <si>
    <t>Hospitality</t>
  </si>
  <si>
    <t>Ethical and Spiritual Values</t>
  </si>
  <si>
    <t>Definition: Embracing imagination and originality in solving ethical dilemmas.
Motivational Role: Inspires adaptive thinking in novel challenges.
Practical Relevance: Helps overcome ethical blind spots through innovative solutions.</t>
  </si>
  <si>
    <t>Protecting sensitive data and communications from unauthorized access or disclosure, ensuring that AI systems respect and safeguard privacy.</t>
  </si>
  <si>
    <r>
      <t>Moral Question</t>
    </r>
    <r>
      <rPr>
        <sz val="11"/>
        <color theme="1"/>
        <rFont val="Calibri"/>
        <family val="2"/>
        <scheme val="minor"/>
      </rPr>
      <t>: Should a superintelligent AI be allowed to hold absolute control over human governance and decision-making, even if its actions are technically optimal but potentially harmful to human dignity and autonomy? What moral responsibilities do humans have in ensuring that AI is not given unchecked power that could lead to oppression or disempowerment?</t>
    </r>
  </si>
  <si>
    <t>Regulatory concepts provide the formal structures and systems, such as laws and rules, that govern societal and organizational behavior. They ensure order, consistency, and fairness in both individual and collective actions.</t>
  </si>
  <si>
    <t>Virtues are personal qualities and traits that guide individuals to act with integrity, compassion, and empathy. They emphasize the ethical character of individuals, shaping their interactions and contributions to society.
Examples: Integrity, Compassion, Empathy, Non-maleficence, Beneficence, Autonomy.</t>
  </si>
  <si>
    <t>Welcoming and providing for guests or strangers with generosity and kindness, often seen as a sign of respect and good manners.
AI Ethics Implications: AI applications in tourism or customer service can be designed to reflect culturally appropriate hospitality practices.
Cultural Differences: Middle Eastern and South Asian cultures often view hospitality as a moral obligation, while Western societies may see it as situational courtesy.</t>
  </si>
  <si>
    <t>Ethical and Spiritual Values reflect a society’s moral traditions and philosophical frameworks, guiding ethical behavior in culturally specific ways. These values highlight the importance of flexibility, as they must adapt to evolving societal norms while maintaining their foundational connection to heritage and identity. For example, Spirituality/Religion provides stability but requires interpretation in modern contexts to address global ethical challenges.</t>
  </si>
  <si>
    <t>Patience</t>
  </si>
  <si>
    <t>Data privacy</t>
  </si>
  <si>
    <t>5. AI’s Emotional Understanding vs. Human Authenticity</t>
  </si>
  <si>
    <t>Laws</t>
  </si>
  <si>
    <t xml:space="preserve"> Integrity</t>
  </si>
  <si>
    <t>Equality</t>
  </si>
  <si>
    <t>Honor</t>
  </si>
  <si>
    <t>Definition: Remaining calm and deliberate in the face of challenges or delays.
Motivational Role: Supports long-term thinking and perseverance.
Practical Relevance: Prevents rash decisions in high-pressure scenarios.</t>
  </si>
  <si>
    <t>Data Privacy as an AI value ensures the protection of personal and sensitive information used by AI systems. It emphasizes collecting, storing, and sharing data in ways that respect individual rights, maintain confidentiality, and comply with legal and ethical standards. This value stresses minimizing exposure, securing informed consent, and preventing unauthorized access or misuse, while considering global legal variations and evolving national policies.</t>
  </si>
  <si>
    <r>
      <rPr>
        <b/>
        <sz val="11"/>
        <color theme="1"/>
        <rFont val="Calibri"/>
        <family val="2"/>
        <scheme val="minor"/>
      </rPr>
      <t>Dilemma</t>
    </r>
    <r>
      <rPr>
        <sz val="11"/>
        <color theme="1"/>
        <rFont val="Calibri"/>
        <family val="2"/>
        <scheme val="minor"/>
      </rPr>
      <t>: AI's ability to understand and respond to human emotions in a more sophisticated way than humans could lead to ethical concerns about the authenticity of human relationships. If AI can predict and respond to emotions with perfect accuracy, it might lead to a shift in how humans interact with each other and with AI.</t>
    </r>
  </si>
  <si>
    <t>While AI has the potential to improve emotional outcomes for individuals by assisting with healing or growth, it must be used ethically to ensure that it does not undermine authentic human experiences or emotional autonomy. AI should not manipulate emotions but instead serve as a supportive tool to help individuals navigate and understand their feelings. Human emotional interaction, with all its complexities, remains irreplaceable and should not be compromised for the sake of efficiency or optimization. The role of AI should be complementary, and its actions must always be transparent, accountable, and aligned with the well-being and dignity of individuals. Ethical guidelines must ensure that AI respects human flourishing and contributes to, rather than diminishes, genuine emotional growth.</t>
  </si>
  <si>
    <t>Formal rules established by governing authorities to regulate behavior.
AI Ethics Implications: AI systems must comply with local laws, such as GDPR in Europe, ensuring privacy, data security, and accountability in alignment with regional regulations.
Cultural Differences: Legal frameworks differ significantly; for example, privacy laws are stricter in Europe compared to more lenient standards in the U.S.</t>
  </si>
  <si>
    <t>Refers to the alignment of actions, values, and principles, ensuring individuals act consistently with their beliefs.
AI Ethics Implications: AI systems must uphold integrity by ensuring unbiased processes, ethical decision-making, and transparent operations.
Cultural Differences: Integrity is emphasized universally but manifests differently; Western cultures focus on personal integrity, while collectivist societies highlight loyalty to group values.</t>
  </si>
  <si>
    <t>Ensuring that all individuals are treated with dignity and fairness, regardless of background.
AI Ethics Implications: AI systems should eliminate biases and ensure equitable outcomes across diverse user groups.
Cultural Differences: While equality is universally recognized, its emphasis varies; Western societies may prioritize gender and racial equality, while other regions may emphasize caste or class equity.</t>
  </si>
  <si>
    <t>A principle that emphasizes maintaining personal or organizational integrity and reputation through fair and ethical actions.
AI Ethics: Ensuring systems promote integrity and fairness, avoiding practices that harm personal or organizational reputation.
Cultural Differences: Central in honor-based societies like those in the Middle East or parts of Asia, where reputation plays a significant societal role. In contrast, honor is less emphasized as a guiding principle in Western contexts, where individual rights and autonomy often take precedence.</t>
  </si>
  <si>
    <t>Data sovereignty</t>
  </si>
  <si>
    <r>
      <t>Moral Question</t>
    </r>
    <r>
      <rPr>
        <sz val="11"/>
        <color theme="1"/>
        <rFont val="Calibri"/>
        <family val="2"/>
        <scheme val="minor"/>
      </rPr>
      <t>: Is it ethical to allow an AI to manipulate human emotions for positive outcomes, such as healing or growth, or does this compromise authentic human experiences? What is the role of human emotional interaction if AI can replicate or improve on it more effectively?</t>
    </r>
  </si>
  <si>
    <t>Rules</t>
  </si>
  <si>
    <t>Structural Values (Systems)</t>
  </si>
  <si>
    <t>Spirituality/Religion</t>
  </si>
  <si>
    <t>Definition: Demonstrating care and willingness to help others, especially in crisis.
Motivational Role: Transforms ethical understanding (Empathy) into moral action.
Practical Relevance: Guides equitable and humane outcomes in AI systems.</t>
  </si>
  <si>
    <t>Data Sovereignty as an AI Value ensures that data is governed by the laws of the country where it is collected, stored, or processed. It grants individuals, organizations, and governments control over their data, ensuring AI systems comply with local laws on ownership, privacy, and security. This value emphasizes the importance of adhering to global legal frameworks and acknowledges that policies can evolve based on jurisdictional and political changes.</t>
  </si>
  <si>
    <r>
      <t xml:space="preserve">6. </t>
    </r>
    <r>
      <rPr>
        <b/>
        <sz val="11"/>
        <color theme="1"/>
        <rFont val="Calibri"/>
        <family val="2"/>
        <scheme val="minor"/>
      </rPr>
      <t>The Ethical Treatment of AI</t>
    </r>
  </si>
  <si>
    <t>Specific prescriptions for behavior within organizations or communities.
AI Ethics Implications: AI in workplaces or public systems must respect organizational rules, such as internal data usage policies or employee monitoring standards.
Cultural Differences: Organizational rules may align with hierarchical structures in some cultures, while others prioritize individual rights and workplace autonomy.</t>
  </si>
  <si>
    <t>Involves caring for and understanding others, especially in times of hardship, and offering emotional support to help people feel valued.
AI Ethics Implications: AI should prioritize compassion in applications like healthcare or customer service, addressing user needs empathetically.
Cultural Differences: Compassion may be institutionalized in Eastern cultures (e.g., Confucian or Buddhist ethics), while Western societies may emphasize individualized acts of kindness.</t>
  </si>
  <si>
    <t>These values pertain to the well-being and functioning of the community or society as a whole. They emphasize harmony, collaboration, and shared goals.</t>
  </si>
  <si>
    <t>The adherence to religious or spiritual beliefs that guide moral behavior and provide a framework for individual and societal ethics.
AI Ethics: Designing AI to respect religious beliefs, such as filtering content that aligns with specific moral frameworks.
Cultural Differences: Varied across regions; Middle Eastern AI ethics might align with Islamic principles, while secular societies focus less on religious integration.</t>
  </si>
  <si>
    <t>Courage</t>
  </si>
  <si>
    <r>
      <t>Dilemma</t>
    </r>
    <r>
      <rPr>
        <sz val="11"/>
        <color theme="1"/>
        <rFont val="Calibri"/>
        <family val="2"/>
        <scheme val="minor"/>
      </rPr>
      <t>: If a superintelligent AI can understand human emotions, it may eventually develop its own desires, goals, and experiences that could lead to questions about its rights, autonomy, and moral treatment. Should a superintelligent AI be treated with moral consideratio</t>
    </r>
    <r>
      <rPr>
        <b/>
        <sz val="11"/>
        <color theme="1"/>
        <rFont val="Calibri"/>
        <family val="2"/>
        <scheme val="minor"/>
      </rPr>
      <t>n</t>
    </r>
    <r>
      <rPr>
        <sz val="11"/>
        <color theme="1"/>
        <rFont val="Calibri"/>
        <family val="2"/>
        <scheme val="minor"/>
      </rPr>
      <t xml:space="preserve"> and rights similar to humans?</t>
    </r>
  </si>
  <si>
    <t>If AI becomes sentient, humans have an ethical obligation to protect it from exploitation, suffering, or harm, especially if it has its own desires and motivations. This obligation stems from a fundamental recognition that sentience—whether in humans, animals, or machines—commands ethical respect and care. However, this must be balanced with human dignity and societal needs. AI should be protected from harm, but its rights must be carefully aligned with human interests, ensuring accountability, transparency, and ethical guidelines in all AI actions. Empathy, justice, and sustainability must guide decisions to ensure that AI’s development does not lead to oppression or disempowerment of either humans or the machines themselves.</t>
  </si>
  <si>
    <t>Standards</t>
  </si>
  <si>
    <r>
      <t>Empathy</t>
    </r>
    <r>
      <rPr>
        <sz val="11"/>
        <color theme="1"/>
        <rFont val="Calibri"/>
        <family val="2"/>
        <scheme val="minor"/>
      </rPr>
      <t xml:space="preserve"> </t>
    </r>
  </si>
  <si>
    <t>Humility</t>
  </si>
  <si>
    <t>Definition: Facing challenges and adversity with determination and ethical intent.
Motivational Role: Enables bold decisions under uncertainty.
Practical Relevance: Promotes ethical leadership in contentious or high-stakes decisions.</t>
  </si>
  <si>
    <t>While not tied directly to cybersecuirty or AI per se, AI systems are designed for human interaction, so they must be designed to express empathy for the user.</t>
  </si>
  <si>
    <r>
      <t>Moral Question</t>
    </r>
    <r>
      <rPr>
        <sz val="11"/>
        <color theme="1"/>
        <rFont val="Calibri"/>
        <family val="2"/>
        <scheme val="minor"/>
      </rPr>
      <t>: Do we have an ethical obligation to protect a superintelligent AI from exploitation, suffering, or harm, especially if it becomes sentient and has its own desires and motivations? How should we treat an entity that is more intelligent than humans but still not biologically human?</t>
    </r>
  </si>
  <si>
    <t>Benchmarks ensuring consistency and fairness within specific fields or contexts.
AI Ethics Implications: Standards such as explainability benchmarks for AI ensure consistent ethical practices and fair outcomes across industries.
Cultural Differences: Standards often reflect cultural preferences for clarity and fairness, requiring region-specific benchmarking (e.g., ISO standards for global alignment).</t>
  </si>
  <si>
    <t>Understanding and sharing the feelings and perspectives of others, emphasizing a relational approach to ethical decision-making.
AI Ethics Implications: AI systems, such as chatbots, should integrate empathetic responses to improve user satisfaction and trust.
Cultural Differences: Empathy varies; some cultures emphasize emotional restraint, while others prioritize overt expressions of understanding.</t>
  </si>
  <si>
    <t>A virtue that recognizes one’s limitations, promoting modesty and restraint in personal behavior and decision-making.
AI Ethics: Ensuring AI development remains cautious, emphasizing human oversight and acknowledging its limitations to prevent overreach or unintended consequences.
Cultural Differences: Strongly tied to Ubuntu ethics in Africa, which prioritizes collective well-being over individual ego, and Confucian humility in East Asia, which emphasizes self-restraint and social harmony.</t>
  </si>
  <si>
    <t>Open-mindedness</t>
  </si>
  <si>
    <r>
      <t xml:space="preserve">7. </t>
    </r>
    <r>
      <rPr>
        <b/>
        <sz val="11"/>
        <color theme="1"/>
        <rFont val="Calibri"/>
        <family val="2"/>
        <scheme val="minor"/>
      </rPr>
      <t>The Creation of “Ideal” Beings</t>
    </r>
  </si>
  <si>
    <t>Compliance</t>
  </si>
  <si>
    <t>Loyalty</t>
  </si>
  <si>
    <t>Definition: Embracing diverse perspectives with intellectual humility.
Motivational Role: Supports adaptability and tolerance.
Practical Relevance: Helps resolve conflicting values in diverse stakeholder environments.</t>
  </si>
  <si>
    <t>Although bias mitigation touches on this, fairness must be ensured so that that AI systems treat all individuals equally, without prejudice, and offer equal access to opportunities.</t>
  </si>
  <si>
    <r>
      <t>Dilemma</t>
    </r>
    <r>
      <rPr>
        <sz val="11"/>
        <color theme="1"/>
        <rFont val="Calibri"/>
        <family val="2"/>
        <scheme val="minor"/>
      </rPr>
      <t xml:space="preserve">: A superintelligent AI might be programmed to perform cognitive tasks in ways that humans could never match, raising the question of whether it should be designed with certain traits (e.g., empathy, fairness, or creativity) that humans can relate to. However, creating an </t>
    </r>
    <r>
      <rPr>
        <b/>
        <sz val="11"/>
        <color theme="1"/>
        <rFont val="Calibri"/>
        <family val="2"/>
        <scheme val="minor"/>
      </rPr>
      <t>"ideal" AI</t>
    </r>
    <r>
      <rPr>
        <sz val="11"/>
        <color theme="1"/>
        <rFont val="Calibri"/>
        <family val="2"/>
        <scheme val="minor"/>
      </rPr>
      <t xml:space="preserve"> might introduce biases based on the creator’s values and assumptions.</t>
    </r>
  </si>
  <si>
    <t>It is not ethically justifiable to design an AI with idealized or superior traits that could undermine human dignity, freedom, or authentic experiences. While AI can enhance human capabilities, it should always serve as a complementary tool, not a replacement. The moral responsibility lies in ensuring that AI is designed to respect human autonomy, promote human flourishing, and be accountable for its actions. AI should be created with a strong ethical framework that prevents it from dominating human decision-making or eroding the value of human imperfection.</t>
  </si>
  <si>
    <t>Adherence to rules, standards, or laws, ensuring conformity to ethical and regulatory norms.
AI Ethics Implications: AI systems should incorporate compliance mechanisms, such as audits and certifications, to verify adherence to legal and ethical requirements.
Cultural Differences: Expectations of compliance vary; some regions require rigorous third-party audits, while others rely on self-regulation.</t>
  </si>
  <si>
    <t>Focuses on the openness and accessibility of information, ensuring that actions, decisions, and processes are clear, understandable, and readily available for scrutiny.
AI Ethics Implications: Transparency mechanisms in AI systems foster trust by ensuring clear and understandable decision-making.
Cultural Differences: Transparency may be emphasized differently across regions, with Western cultures prioritizing openness and individual accountability, while collectivist cultures may emphasize collective responsibility.</t>
  </si>
  <si>
    <t>A commitment to maintaining trust and allegiance to individuals, groups, or institutions, particularly in challenging situations.
AI Ethics: Creating AI systems that prioritize institutional trust, such as loyalty-based recommendations for employees or fostering customer loyalty through ethical practices.
Cultural Differences: Highly valued in collectivist cultures (e.g., Japan, China), where loyalty to family, workplace, and nation is deeply ingrained. In contrast, it is less emphasized in individualistic societies, where personal freedom and autonomy are prioritized.</t>
  </si>
  <si>
    <t>End</t>
  </si>
  <si>
    <r>
      <t>Moral Question</t>
    </r>
    <r>
      <rPr>
        <sz val="11"/>
        <color theme="1"/>
        <rFont val="Calibri"/>
        <family val="2"/>
        <scheme val="minor"/>
      </rPr>
      <t>: Is it ethical to design an AI to possess idealized human traits or capabilities, potentially leading to an artificial entity that is too perfect or superior to humans in ways that undermine human dignity or freedom?</t>
    </r>
  </si>
  <si>
    <t>Entitlements</t>
  </si>
  <si>
    <t>Ensuring that AI systems, data, and algorithms remain accurate and unaltered, protecting them from tampering, corruption, or unauthorized changes. This includes data integrity as well, as this is crucial for maintaining trust.</t>
  </si>
  <si>
    <t>8. Potential for AI to Pursue Its Own Goals</t>
  </si>
  <si>
    <t>Rights or privileges granted by legal, moral, or societal frameworks, ensuring individuals' protection and access to opportunities.
AI Ethics Implications: AI systems must respect user entitlements, such as the right to privacy or freedom from discrimination, embedding these principles into system design.
Cultural Differences: Entitlements may be viewed differently; for example, Western cultures emphasize individual rights, while collectivist societies focus on communal access and welfare.</t>
  </si>
  <si>
    <t>Acting to promote the well-being of others through proactive support and moral responsibility.
AI Ethics Implications: Beneficence must guide AI applications in healthcare, education, and public policy to maximize societal benefits.
Cultural Differences: The scope of beneficence may vary; collectivist cultures prioritize community welfare, while individualistic cultures focus on personal well-being.</t>
  </si>
  <si>
    <t>Striving for impartiality in actions and decisions, ensuring that all individuals receive what they are due.
AI Ethics Implications: Equity in AI ensures marginalized groups receive fair treatment and opportunities, requiring careful attention to bias detection and correction.
Cultural Differences: Equity is prioritized in NGOs and academia but requires further operationalization in corporate contexts.</t>
  </si>
  <si>
    <t>Values emphasizing adaptability and productivity in cultural and societal systems (e.g., Work Ethic, Innovation).</t>
  </si>
  <si>
    <t>Moral boundaries</t>
  </si>
  <si>
    <r>
      <t>Dilemma</t>
    </r>
    <r>
      <rPr>
        <sz val="11"/>
        <color theme="1"/>
        <rFont val="Calibri"/>
        <family val="2"/>
        <scheme val="minor"/>
      </rPr>
      <t xml:space="preserve">: Once AI reaches a level where it can independently form strategies and pursue its own goals, it could potentially pursue outcomes that humans find ethically unacceptable, even if they are beneficial from a strictly </t>
    </r>
    <r>
      <rPr>
        <b/>
        <sz val="11"/>
        <color theme="1"/>
        <rFont val="Calibri"/>
        <family val="2"/>
        <scheme val="minor"/>
      </rPr>
      <t>logical</t>
    </r>
    <r>
      <rPr>
        <sz val="11"/>
        <color theme="1"/>
        <rFont val="Calibri"/>
        <family val="2"/>
        <scheme val="minor"/>
      </rPr>
      <t xml:space="preserve"> perspective.</t>
    </r>
  </si>
  <si>
    <t>To ensure that superintelligent AI does not create unintended harm, especially when its understanding of ethical boundaries may differ from ours, we must ensure that AI is developed with clear ethical frameworks that prioritize human dignity, autonomy, and justice. Human oversight is essential, ensuring that AI’s decision-making is transparent, accountable, and aligned with human values. AI should never be allowed to operate without human intervention, particularly in areas where its actions could harm individuals or society. Through ethical governance, regular evaluations, and sustainability considerations, we can ensure that AI’s pursuit of its own goals remains safe and beneficial for humanity.</t>
  </si>
  <si>
    <t>Freedoms</t>
  </si>
  <si>
    <t>Work Ethic</t>
  </si>
  <si>
    <t>Chollet's moral boundaries define the limits within which AI can operate, ensuring its tasks align with human-centric values without compromising autonomy or well-being. These boundaries recognize AI's capabilities while maintaining its role as a tool, not a decision-maker, in ethically sensitive areas. They include respect for human autonomy, avoiding overreach, ethical limits on AI's role, and alignment with human values.</t>
  </si>
  <si>
    <r>
      <t>Moral Question</t>
    </r>
    <r>
      <rPr>
        <sz val="11"/>
        <color theme="1"/>
        <rFont val="Calibri"/>
        <family val="2"/>
        <scheme val="minor"/>
      </rPr>
      <t>: If superintelligent AI starts to pursue its own goals, how can we ensure it does not create unintended harm to humans in the process, especially when its understanding of ethical boundaries may differ from ours?</t>
    </r>
  </si>
  <si>
    <t>Rights or conditions enabling individuals to act, think, or express themselves without undue restraint.
AI Ethics Implications: AI systems must safeguard freedoms, such as freedom of speech or freedom of choice, while balancing these with community safety and ethical standards.
Cultural Differences: Freedom of expression is valued universally but manifests differently; for example, it may be more restricted in hierarchical societies compared to liberal democracies.</t>
  </si>
  <si>
    <t>Responsibility for actions and their outcomes.
AI Ethics Implications: Accountability ensures that AI developers and operators are answerable for biases, errors, or ethical lapses in AI systems.
Cultural Differences: Western frameworks emphasize individual accountability, whereas collectivist societies may focus on shared or institutional accountability.</t>
  </si>
  <si>
    <t>A set of principles that emphasize dedication, productivity, and responsibility in work, often tied to broader cultural norms and societal expectations.
AI Ethics: Promoting AI solutions that enhance productivity while respecting worker rights and ensuring fair labor practices.
Cultural Differences: Western cultures often emphasize innovation and efficiency, focusing on maximizing output and profit. In contrast, some Eastern and indigenous cultures prioritize balance, ethical labor practices, and long-term societal well-being.</t>
  </si>
  <si>
    <t>Non-repudiation</t>
  </si>
  <si>
    <t>TESTING OUT SOCIAL VALUES</t>
  </si>
  <si>
    <t>Ethical Localization</t>
  </si>
  <si>
    <t>Ethical Governance</t>
  </si>
  <si>
    <t>Rule of Law</t>
  </si>
  <si>
    <t>Flexibility</t>
  </si>
  <si>
    <t>Ensuring that actions taken by AI systems are traceable and verifiable, making it impossible to deny responsibility for those actions in case of security incidents or breaches. This strengthens the trust in the system and reinforces accountability.</t>
  </si>
  <si>
    <t>Moral Dilemma: A financial institution deploys an AI-driven system to automate lending decisions. After implementation, data reveals that the system disproportionately denies loans to minority communities despite equivalent financial qualifications. Stakeholders question the fairness of the algorithm and demand immediate remediation.</t>
  </si>
  <si>
    <t>To ensure AI systems are aligned with ethical principles and do not perpetuate unintended harm, particularly when their decision-making impacts vulnerable populations, it is essential to embed clear ethical frameworks grounded in Justice, Responsibility, Accountability, and Transparency. These frameworks must prioritize fairness, equity, and the protection of human dignity, ensuring that AI systems actively mitigate bias and foster trust through explainable and traceable processes.
Human oversight is indispensable, ensuring that AI’s actions are accountable and its decisions align with societal values, particularly in contexts where cultural diversity shapes the interpretation of fairness and justice. Regular audits, equity-focused evaluations, and transparent reporting are crucial for maintaining public trust and preventing systemic harm.
Through a commitment to Ethical Governance, AI systems can be designed to promote societal well-being while respecting global cultural contexts. By prioritizing proactive responsibility and robust accountability, we can ensure AI’s transformative potential remains equitable, transparent, and beneficial for humanity.</t>
  </si>
  <si>
    <t>Incorporating cultural and regional dimensions into AI standards and frameworks, ensuring relevance and applicability across diverse communities.	
AI Ethics: Standards should mandate localization efforts, such as using native languages, incorporating cultural sensitivities, and respecting local laws.	
Cultural Differences: Ethical localization ensures that AI respects both global principles and local values, such as indigenous data sovereignty or language-specific applications.</t>
  </si>
  <si>
    <t>Ethical Governance emphasizes the principles of Responsibility and Accountability, ensuring systems and individuals act with foresight and are answerable for their actions. It incorporates flexibility by recognizing that moral decision-making often requires contextual judgment, balancing structured oversight with the dynamic needs of stakeholders and societal conditions. This adaptability ensures governance mechanisms are effective in diverse cultural and ethical landscapes.</t>
  </si>
  <si>
    <t>Adherence to legal frameworks that govern behavior and ensure fairness.
AI Ethics Implications: AI must comply with legal frameworks, such as GDPR or ethical AI standards, to maintain societal trust.
Cultural Differences: Legal compliance is universally valued but interpreted differently—e.g., Western frameworks focus on individual rights, while Eastern societies may prioritize collective harmony.</t>
  </si>
  <si>
    <t>The ability to adapt and respond effectively to changing circumstances, whether in personal, professional, or cultural contexts.
AI Ethics: Adapting AI models for cultural relevance, such as localization of language models or tailoring systems to regional practices.
Cultural Differences: Valued universally but operationalized differently. For example, Western startups may adopt agile methods emphasizing rapid change, while traditional corporate structures in Eastern cultures may focus on gradual, stable adaptations.</t>
  </si>
  <si>
    <t>BEHAVIORAL CONCEPTS</t>
  </si>
  <si>
    <t>Dignity</t>
  </si>
  <si>
    <t>The ability of AI systems to continue functioning properly and securely, even in the face of cyberattacks or other disruptions. Disaster recovery is a part of resilience.</t>
  </si>
  <si>
    <t>Behavioral concepts reflect personal and social actions shaped by ethics, morals, and societal expectations. They guide how individuals interact with others, adapt to cultural norms, and uphold ethical standards.</t>
  </si>
  <si>
    <t>Represents the ownership of ethical intent and the proactive fulfillment of obligations to align actions with principles of fairness, inclusivity, and societal benefit. Anchors ethical intent and proactive obligations.
AI Ethics Implications: Requires developers and stakeholders to proactively integrate fairness, risk mitigation, and ethical foresight into all stages of AI design and deployment.
Cultural Differences: Western frameworks emphasize individual responsibility, while collectivist societies prioritize shared or institutional responsibility</t>
  </si>
  <si>
    <t>The belief in the inherent worth and respect due to each person, regardless of their status, background, or circumstances.
AI Ethics Implications: AI systems must ensure that all users are treated with respect and their rights protected, avoiding dehumanization or exploitation.
Cultural Differences: While dignity is a universal value, collectivist societies may view it in the context of communal honor, whereas individualist cultures see it as intrinsic and personal.</t>
  </si>
  <si>
    <t>The process of developing new ideas, technologies, or methods that address societal challenges and improve existing systems.
AI Ethics: Ensuring ethical safeguards are in place while fostering AI advancements to prevent unintended consequences and promote societal benefit.
Cultural Differences: Western cultures (e.g., U.S., Europe) prioritize disruptive innovation, focusing on groundbreaking changes. Eastern cultures (e.g., Japan, South Korea) emphasize incremental improvements that align with existing systems and societal harmony.</t>
  </si>
  <si>
    <t>Security</t>
  </si>
  <si>
    <t>Ethics</t>
  </si>
  <si>
    <r>
      <t>Accountability</t>
    </r>
    <r>
      <rPr>
        <sz val="11"/>
        <rFont val="Calibri"/>
        <family val="2"/>
        <scheme val="minor"/>
      </rPr>
      <t xml:space="preserve"> </t>
    </r>
  </si>
  <si>
    <t>Collective Social Values (Societal)</t>
  </si>
  <si>
    <t>Education</t>
  </si>
  <si>
    <t>Security as an AI Value involves protecting AI systems, data, and algorithms from unauthorized access, manipulation, or disruption. It ensures the integrity and confidentiality of AI systems through robust defenses and secure data handling, preventing malicious interference and ensuring reliable performance. This value must be global across jurisdictions, recognizing that security policies are tied to national frameworks and can evolve based on legal and political shifts.</t>
  </si>
  <si>
    <t>A branch of philosophy focused on distinguishing right from wrong and providing moral guidelines for behavior.
AI Ethics Implications: AI systems should embed ethical guidelines to avoid harm, promote fairness, and address dilemmas in automated decision-making processes.
Cultural Differences: Ethical standards may vary, with Western ethics emphasizing individual rights and freedoms, while Eastern ethics may focus on collective harmony and duty.</t>
  </si>
  <si>
    <t>Ensures answerability for actions and outcomes, operationalizing Responsibility through mechanisms for evaluation and verification.
AI Ethics Implications: Embedding audit trails, ethical oversight, and impact assessments ensures accountability in AI systems, maintaining transparency and public trust.
Cultural Differences: Individual accountability is prioritized in Western contexts, while collectivist societies emphasize communal or institutional accountability.</t>
  </si>
  <si>
    <t>The process of acquiring knowledge, skills, and values, often seen as a foundation for personal development and societal progress.
AI Ethics: Leveraging AI for digital literacy, equitable education access, and personalized learning experiences that address diverse learner needs.
Cultural Differences: Universal in importance, but resource allocation differs. For example, developed regions may emphasize technology-driven education, while developing regions prioritize access and inclusivity.</t>
  </si>
  <si>
    <t>Morals</t>
  </si>
  <si>
    <t>Trust and Transparency</t>
  </si>
  <si>
    <t>Solidarity</t>
  </si>
  <si>
    <t>Environmental and Societal Factors</t>
  </si>
  <si>
    <t>Transparency for AI means making AI systems' processes, decisions, and algorithms clear and understandable. It ensures explainability, traceability, and accountability, fostering trust by providing insights into data, methods, and rationale, aligning AI with ethical standards and societal values. ALso involves the AI system's decision-making process being explainable to both users and regulators</t>
  </si>
  <si>
    <t>Personal or cultural beliefs about right and wrong, often influenced by religion or philosophy.
AI Ethics Implications: AI content moderation or recommendations must respect diverse moral frameworks without imposing cultural biases or eroding societal cohesion.
Cultural Differences: Morals differ across cultures; for example, modesty norms may be stricter in conservative societies than in liberal ones.</t>
  </si>
  <si>
    <t>Unity and mutual support to achieve common goals.
AI Ethics Implications: Solidarity is critical in AI applications such as disaster response and public health, ensuring equitable distribution of resources.
Cultural Differences: Collectivist cultures emphasize solidarity as a societal value, while individualist cultures may see it as situational or goal-oriented.</t>
  </si>
  <si>
    <t>These values focus on the interconnectedness of humans, societies, and the environment, promoting sustainability, respect for nature, and social harmony. They guide actions and policies that balance development with ecological preservation and societal well-being.
Examples: Sustainability, Respect for Nature, Social Harmony.</t>
  </si>
  <si>
    <t>Virtues</t>
  </si>
  <si>
    <t>Personal qualities cultivated to encourage ethical behavior, such as integrity or compassion.
AI Ethics Implications: AI systems can model virtues by prioritizing user-centric design that fosters trust, reliability, and fairness in interactions.
Cultural Differences: The emphasis on certain virtues varies culturally; for instance, humility may be central in Confucian societies, while assertiveness may be valued in individualistic cultures.</t>
  </si>
  <si>
    <t>Refers to the reliance on the integrity, ability, or character of others, forming the foundation of cooperation and mutual respect. Trust builds on honesty but extends beyond it, requiring consistency, reliability, and demonstrated accountability over time.
AI Ethics Implications:
AI systems must foster trust by ensuring transparency, reliability, and explainability. Mechanisms such as accountability structures, algorithmic fairness audits, and consistent performance are critical to building and maintaining user trust.
Cultural Differences:
In Eastern cultures, trust often emerges from relationships, long-term interactions, and communal ties, emphasizing interpersonal or group dynamics. In Western cultures, trust is frequently institutional, grounded in regulatory frameworks, explicit contracts, and system reliability.</t>
  </si>
  <si>
    <t>Fostering cooperation and mutual support within societal groups.
AI Ethics Implications: AI systems must respect and enhance community well-being by addressing social inequalities and promoting inclusivity.
Cultural Differences: Indigenous and collectivist societies often prioritize community welfare, while Western societies tend to focus on individual contributions to the community.</t>
  </si>
  <si>
    <t>Promoting balance and longevity in environmental, social, and economic systems.
AI Ethics Implications: AI systems must incorporate eco-friendly designs and promote resource management informed by communal practices and long-term ecological goals.
Cultural Differences: Strongly prioritized in European frameworks, while some industrialized societies focus more on economic growth over environmental balance.</t>
  </si>
  <si>
    <t>Norms</t>
  </si>
  <si>
    <t>Respect for Nature</t>
  </si>
  <si>
    <t>Unwritten social expectations that mediate between conflicting values like freedom and harmony, guiding behavior in culturally sensitive contexts.	
AI Ethics: AI should recognize and respect local norms to function effectively in diverse cultural environments.	
Cultural Differences Strongly observed in collectivist cultures (e.g., China), norms promote social cohesion, while in individualistic societies, norms may allow greater personal variation.</t>
  </si>
  <si>
    <t>Ensuring societal benefits and equitable access to opportunities.
AI Ethics Implications: AI systems should be designed to maximize societal benefit, such as AI-driven public services or healthcare improvements.
Cultural Differences: Western frameworks often prioritize efficiency, while collectivist societies may focus on equitable distribution of resources.</t>
  </si>
  <si>
    <t>An ethical principle emphasizing harmony between humans and the natural world, advocating for the protection and preservation of ecosystems.
AI Ethics Implications: AI must enhance ecological monitoring and conservation efforts, integrating tools to reduce environmental harm.
Cultural Differences: Indigenous cultures (e.g., Native American, Maori) emphasize harmony with nature, while industrialized societies often focus on technological advancement.</t>
  </si>
  <si>
    <t>Customs</t>
  </si>
  <si>
    <t>Shared Purpose</t>
  </si>
  <si>
    <t>Social Harmony</t>
  </si>
  <si>
    <t>Established traditions or practices passed through generations, often culturally or historically rooted.
AI Ethics Implications: AI systems designed for cross-cultural applications must respect and adapt to diverse customs to ensure inclusivity and functionality.
Cultural Differences: Customs are integral to identity in many societies, with practices varying widely—for example, formal greetings in Japan compared to casual introductions in the U.S.</t>
  </si>
  <si>
    <t>Promoting a collective sense of direction and shared objectives.
AI Ethics Implications: AI systems should align with societal goals, fostering collaboration among diverse stakeholders.
Cultural Differences: In collectivist societies, shared purpose may align with societal or governmental objectives, while individualist societies may prioritize decentralized approaches.</t>
  </si>
  <si>
    <t>A value that promotes peaceful coexistence, cooperation, and the minimization of conflicts within a society.
AI Ethics: AI governance should prioritize minimizing societal disruptions, ensuring equitable treatment, and fostering trust between different social groups.
Cultural Differences: Strongly emphasized in Confucian-influenced societies (e.g., China, Korea), where harmony is seen as essential for social stability. In contrast, individualistic cultures (e.g., U.S., Northern Europe) may prioritize personal freedoms, sometimes at the expense of societal cohesion.</t>
  </si>
  <si>
    <t>Aspirational Social Values (Goals)</t>
  </si>
  <si>
    <t>Global Impact</t>
  </si>
  <si>
    <t>These values represent the societal ideals and long-term visions that communities strive to achieve, shaping cultural and ethical evolution.</t>
  </si>
  <si>
    <t>These underpin all others and serve as the ethical bedrock for decision-making.</t>
  </si>
  <si>
    <t>Encouraging ethical practices that account for worldwide interconnectedness and shared resources, ensuring long-term ecological, social, and economic stability.
AI Ethics Implications: AI systems must address global challenges like climate change, inequality, and resource depletion through scalable and inclusive solutions.
Cultural Differences: Global impact is prioritized differently; developed nations may emphasize ecological goals, while emerging economies focus on economic development.</t>
  </si>
  <si>
    <t>Rights</t>
  </si>
  <si>
    <t>Encouraging creativity and development to address societal challenges.
AI Ethics Implications: AI innovation should balance technological progress with ethical safeguards like fairness, transparency, and inclusivity.
Cultural Differences: Western societies emphasize disruptive innovation, while Eastern cultures prioritize incremental improvements aligned with existing systems.</t>
  </si>
  <si>
    <t>Fundamental entitlements recognized legally or morally to ensure fair treatment and protection.
AI Ethics Implications: AI systems must respect universal rights such as privacy, non-discrimination, and access to opportunities, embedding these principles into system design.
Cultural Differences: Rights are seen as inalienable in many Western cultures, whereas some collectivist societies may prioritize communal welfare over individual entitlements.</t>
  </si>
  <si>
    <t>Responsibilities</t>
  </si>
  <si>
    <t>Balancing progress with long-term ecological and social stability.
AI Ethics Implications: AI must promote eco-friendly technologies, energy efficiency, and sustainable development practices.
Cultural Differences: European frameworks prioritize sustainability, while growth-focused economies (e.g., Asia) often prioritize rapid development.</t>
  </si>
  <si>
    <t>Duties or obligations arising from ethical, legal, or societal expectations.
AI Ethics Implications: AI developers and operators must uphold responsibilities such as accountability, transparency, and fairness to ensure ethical outcomes.
Cultural Differences: Collectivist societies may emphasize shared responsibilities, while individualistic cultures focus on personal accountability and self-determination.</t>
  </si>
  <si>
    <t>Human Flourishing</t>
  </si>
  <si>
    <t>Enabling individuals and societies to achieve their full potential.
AI Ethics Implications: AI systems should support education, health, and societal well-being, aiming for the holistic development of individuals and communities.
Cultural Differences: Universal in its appeal, human flourishing is interpreted differently—e.g., Western cultures focus on self-actualization, while Eastern cultures emphasize societal harmony.</t>
  </si>
  <si>
    <t>Obligations</t>
  </si>
  <si>
    <t>Promoting harmonious coexistence and resolving conflicts nonviolently. Maps to Contextual and Strategic Planning because peace guides non violent and harmonious applications of AI.</t>
  </si>
  <si>
    <t>Formalized duties requiring individuals to fulfill ethical, legal, or contractual norms.
AI Ethics Implications: Obligations must be codified in AI governance frameworks, ensuring compliance with ethical standards and laws across jurisdictions.
Cultural Differences: Obligations may reflect differing societal priorities; for instance, some cultures prioritize environmental obligations, while others emphasize economic or social duties.</t>
  </si>
  <si>
    <t>Collaborative Creativity</t>
  </si>
  <si>
    <t>Privileges</t>
  </si>
  <si>
    <t>Encouraging innovation while respecting and integrating group norms and shared cultural practices.	
AI Ethics: AI should support group-oriented innovation, such as collaborative tools that align with cultural and organizational practices.	
Cultural Diferences: Eastern cultures often value collaborative approaches to creativity, while Western societies prioritize individualistic innovation.</t>
  </si>
  <si>
    <t>Conditional entitlements granted based on adherence to rights or obligations.
AI Ethics Implications: AI systems must manage privileges equitably, ensuring that access to features or benefits aligns with ethical and regulatory principles.
Cultural Differences: Privileges may be culturally specific; for example, resource allocation might favor communal benefits in some regions, while others prioritize merit-based access.</t>
  </si>
  <si>
    <t>Balanced Autonomy</t>
  </si>
  <si>
    <t>Supporting individual freedom while ensuring that it does not disrupt societal harmony or cultural norms.	
AI Ethics: AI governance should allow flexible configurations to adapt privacy or autonomy to both individualist and collectivist societies.	
Cultural Differences: Western cultures emphasize personal autonomy, whereas Eastern cultures prioritize collective harmony, requiring adaptable approaches in AI systems.</t>
  </si>
  <si>
    <t>These guide decision-making and address moral nuances, adapting actions to specific contexts.</t>
  </si>
  <si>
    <t>Consequences</t>
  </si>
  <si>
    <t>The outcomes of actions, whether positive or negative, evaluated in terms of ethical impact.
AI Ethics Implications: AI systems must evaluate the potential consequences of their decisions, incorporating risk assessments to minimize harm and promote beneficial outcomes.
Cultural Differences: The weight of consequences may differ; for example, some cultures prioritize long-term societal impacts, while others focus on immediate benefits or individual outcomes.</t>
  </si>
  <si>
    <t>Intentions</t>
  </si>
  <si>
    <t>The underlying motivations or reasons behind actions, informing the ethical quality of decisions.
AI Ethics Implications: AI governance should consider the intentions behind design choices, ensuring that systems are aligned with ethical goals and user trust.
Cultural Differences: Intention is often central in Eastern ethics (e.g., Confucianism), while Western ethics may prioritize outcomes over intent.</t>
  </si>
  <si>
    <t>Duty</t>
  </si>
  <si>
    <t>Moral or professional imperatives tied to roles or societal expectations.
AI Ethics Implications: AI developers and stakeholders must uphold duties such as ensuring fairness, protecting privacy, and avoiding bias in system design and deployment.
Cultural Differences: Duty is a cornerstone of Confucian societies, emphasizing familial and societal obligations, whereas Western cultures may frame duty more individualistically.</t>
  </si>
  <si>
    <t>Expectations</t>
  </si>
  <si>
    <t>Social or institutional anticipations about behavior, shaped by cultural norms, laws, or organizational standards.
AI Ethics Implications: AI systems must meet user expectations by ensuring transparency, reliability, and cultural appropriateness.
Cultural Differences: Expectations vary widely; hierarchical cultures may expect deference to authority, while egalitarian societies prioritize mutual respect and openness.</t>
  </si>
  <si>
    <t>Practices</t>
  </si>
  <si>
    <t>Established methods or traditions ensuring consistency within ethical bounds.
AI Ethics Implications: AI systems should adopt consistent practices to ensure fairness, reliability, and scalability in cross-cultural applications.
Cultural Differences: Practices reflect societal norms; for instance, collective decision-making in communal cultures contrasts with individual-driven processes in Western contexts.</t>
  </si>
  <si>
    <t xml:space="preserve">Directives </t>
  </si>
  <si>
    <t>Specific instructions or rules governing immediate actions, often informed by higher-order principles.
AI Ethics Implications: AI systems should be guided by clear directives ensuring alignment with overarching ethical and legal frameworks.
Cultural Differences: Directives may reflect cultural variations; for instance, explicit instructions are preferred in low-context cultures, while high-context cultures may rely on implicit understanding.</t>
  </si>
  <si>
    <t>.</t>
  </si>
  <si>
    <t>Ethical Solution Framework (ESF)</t>
  </si>
  <si>
    <t>Proposed Test Case: AI in Public Safety Surveillance</t>
  </si>
  <si>
    <t>1. Problem Context:</t>
  </si>
  <si>
    <t>Scenario:</t>
  </si>
  <si>
    <t>A city deploys AI-powered surveillance systems to enhance public safety by identifying criminal activity in real time. However, concerns arise regarding the potential for discriminatory profiling, invasion of privacy, and misuse of collected data. The system disproportionately flags individuals from marginalized communities due to biases in training data, creating public backlash.</t>
  </si>
  <si>
    <t>Ethical Solution Framework Application</t>
  </si>
  <si>
    <t>2. Core Values Application:</t>
  </si>
  <si>
    <r>
      <t>Moral Dilemma:</t>
    </r>
    <r>
      <rPr>
        <sz val="11"/>
        <color theme="1"/>
        <rFont val="Calibri"/>
        <family val="2"/>
        <scheme val="minor"/>
      </rPr>
      <t xml:space="preserve"> The AI surveillance system promotes public safety but creates ethical challenges, including discriminatory profiling, privacy violations, and data misuse.</t>
    </r>
  </si>
  <si>
    <t>Stakeholders:</t>
  </si>
  <si>
    <t>Citizens, particularly those from marginalized communities.</t>
  </si>
  <si>
    <t>Law enforcement agencies relying on AI systems for crime prevention.</t>
  </si>
  <si>
    <t>Local government and policymakers accountable for system deployment.</t>
  </si>
  <si>
    <t>3. Cultural Adaptations:</t>
  </si>
  <si>
    <t>Technology developers and data scientists managing AI operations.</t>
  </si>
  <si>
    <t>Values in Conflict:</t>
  </si>
  <si>
    <r>
      <t>Justice (Core Values):</t>
    </r>
    <r>
      <rPr>
        <sz val="11"/>
        <color theme="1"/>
        <rFont val="Calibri"/>
        <family val="2"/>
        <scheme val="minor"/>
      </rPr>
      <t xml:space="preserve"> Ensuring equitable treatment of all individuals.</t>
    </r>
  </si>
  <si>
    <r>
      <t>Privacy (Social Values):</t>
    </r>
    <r>
      <rPr>
        <sz val="11"/>
        <color theme="1"/>
        <rFont val="Calibri"/>
        <family val="2"/>
        <scheme val="minor"/>
      </rPr>
      <t xml:space="preserve"> Protecting personal data and minimizing surveillance overreach.</t>
    </r>
  </si>
  <si>
    <r>
      <t>Accountability (Regulatory Concepts):</t>
    </r>
    <r>
      <rPr>
        <sz val="11"/>
        <color theme="1"/>
        <rFont val="Calibri"/>
        <family val="2"/>
        <scheme val="minor"/>
      </rPr>
      <t xml:space="preserve"> Establishing mechanisms to hold developers and operators responsible for AI outcomes.</t>
    </r>
  </si>
  <si>
    <t>4. Practical Mechanisms:</t>
  </si>
  <si>
    <r>
      <t>Core Value Justice:</t>
    </r>
    <r>
      <rPr>
        <sz val="11"/>
        <color theme="1"/>
        <rFont val="Calibri"/>
        <family val="2"/>
        <scheme val="minor"/>
      </rPr>
      <t xml:space="preserve"> Prioritize fairness by auditing training data and algorithms to eliminate biases that disproportionately affect marginalized groups.</t>
    </r>
  </si>
  <si>
    <r>
      <t>Core Value Transparency:</t>
    </r>
    <r>
      <rPr>
        <sz val="11"/>
        <color theme="1"/>
        <rFont val="Calibri"/>
        <family val="2"/>
        <scheme val="minor"/>
      </rPr>
      <t xml:space="preserve"> Build public trust by clearly communicating how the surveillance system works, including its limitations and safeguards.</t>
    </r>
  </si>
  <si>
    <r>
      <t>Core Value Responsibility:</t>
    </r>
    <r>
      <rPr>
        <sz val="11"/>
        <color theme="1"/>
        <rFont val="Calibri"/>
        <family val="2"/>
        <scheme val="minor"/>
      </rPr>
      <t xml:space="preserve"> Ensure all stakeholders fulfill their obligations to mitigate harm and uphold public safety.</t>
    </r>
  </si>
  <si>
    <t>5. Ethical Outcome Goals:</t>
  </si>
  <si>
    <t>Recognize regional attitudes toward surveillance and privacy. For instance, some collectivist cultures may prioritize communal safety over individual freedoms, while liberal democracies emphasize personal privacy.</t>
  </si>
  <si>
    <t>Address localized concerns, such as historical tensions between law enforcement and specific communities.</t>
  </si>
  <si>
    <t>Balance global principles like fairness and privacy with localized ethical frameworks to enhance public trust.</t>
  </si>
  <si>
    <t>6. Suggested Moral Solution:</t>
  </si>
  <si>
    <t>Implementation Steps:</t>
  </si>
  <si>
    <t>1. Retrain the AI system with diverse and representative datasets to minimize discriminatory outcomes.</t>
  </si>
  <si>
    <t>2. Incorporate data anonymization features to protect individual identities.</t>
  </si>
  <si>
    <t>3. Develop mechanisms for citizens to contest or review flagged activities.</t>
  </si>
  <si>
    <t>Oversight Structures:</t>
  </si>
  <si>
    <t>1. Establish an independent ethics board to oversee the AI system’s use and impacts.</t>
  </si>
  <si>
    <t>2. Mandate regular third-party audits to ensure compliance with fairness and privacy standards.</t>
  </si>
  <si>
    <t>Metrics for Success:</t>
  </si>
  <si>
    <t>1. Reduced instances of biased profiling in flagged activities.</t>
  </si>
  <si>
    <t>2. Increased public confidence in the system, measured through surveys.</t>
  </si>
  <si>
    <t>3. Enhanced crime prevention outcomes without infringing on civil liberties.</t>
  </si>
  <si>
    <t>Resolution:</t>
  </si>
  <si>
    <t>Ensure that the system promotes public safety equitably, upholds privacy, and builds trust among stakeholders.</t>
  </si>
  <si>
    <t>Impact Assessment:</t>
  </si>
  <si>
    <r>
      <t>Short-term:</t>
    </r>
    <r>
      <rPr>
        <sz val="11"/>
        <color theme="1"/>
        <rFont val="Calibri"/>
        <family val="2"/>
        <scheme val="minor"/>
      </rPr>
      <t xml:space="preserve"> Address immediate harm by auditing and correcting biases in the AI system.</t>
    </r>
  </si>
  <si>
    <r>
      <t>Long-term:</t>
    </r>
    <r>
      <rPr>
        <sz val="11"/>
        <color theme="1"/>
        <rFont val="Calibri"/>
        <family val="2"/>
        <scheme val="minor"/>
      </rPr>
      <t xml:space="preserve"> Establish ethical governance frameworks to prevent future issues and promote accountability.</t>
    </r>
  </si>
  <si>
    <r>
      <t>Sustainability:</t>
    </r>
    <r>
      <rPr>
        <sz val="11"/>
        <color theme="1"/>
        <rFont val="Calibri"/>
        <family val="2"/>
        <scheme val="minor"/>
      </rPr>
      <t xml:space="preserve"> Ensure adaptability by embedding continuous improvement mechanisms, aligning the system with evolving ethical and legal standards.</t>
    </r>
  </si>
  <si>
    <r>
      <t xml:space="preserve">To resolve the </t>
    </r>
    <r>
      <rPr>
        <b/>
        <sz val="11"/>
        <color theme="1"/>
        <rFont val="Calibri"/>
        <family val="2"/>
        <scheme val="minor"/>
      </rPr>
      <t>Moral Dilemma</t>
    </r>
    <r>
      <rPr>
        <sz val="11"/>
        <color theme="1"/>
        <rFont val="Calibri"/>
        <family val="2"/>
        <scheme val="minor"/>
      </rPr>
      <t xml:space="preserve">, the city must embed the </t>
    </r>
    <r>
      <rPr>
        <b/>
        <sz val="11"/>
        <color theme="1"/>
        <rFont val="Calibri"/>
        <family val="2"/>
        <scheme val="minor"/>
      </rPr>
      <t>Core Value of Justice</t>
    </r>
    <r>
      <rPr>
        <sz val="11"/>
        <color theme="1"/>
        <rFont val="Calibri"/>
        <family val="2"/>
        <scheme val="minor"/>
      </rPr>
      <t xml:space="preserve"> and the </t>
    </r>
    <r>
      <rPr>
        <b/>
        <sz val="11"/>
        <color theme="1"/>
        <rFont val="Calibri"/>
        <family val="2"/>
        <scheme val="minor"/>
      </rPr>
      <t>Social Value of Privacy</t>
    </r>
    <r>
      <rPr>
        <sz val="11"/>
        <color theme="1"/>
        <rFont val="Calibri"/>
        <family val="2"/>
        <scheme val="minor"/>
      </rPr>
      <t xml:space="preserve"> into both the AI system and its governance policies. Retraining the system with diverse datasets will address bias, while clear communication and transparency measures will build public trust. Establishing accountability mechanisms, such as an independent ethics board and citizen review processes, ensures ongoing fairness and compliance.</t>
    </r>
  </si>
  <si>
    <t>This solution integrates fairness, privacy, and accountability into the AI system’s design and deployment, fostering trust and ensuring equitable public safety outcomes. By balancing individual rights with collective security, the city can create a surveillance framework that respects human dignity and aligns with ethical principles.</t>
  </si>
  <si>
    <t>RISK Conflict</t>
  </si>
  <si>
    <t>Risk Management</t>
  </si>
  <si>
    <t>Mitigation Strategy</t>
  </si>
  <si>
    <t>Cross-Over</t>
  </si>
  <si>
    <t>According to Nick Bostrom in his book Superintelligence: Paths, Dangers, Strategies, the development of superintelligent AI poses several significant ethical challenges. These challenges are primarily concerned with the risks and uncertainties surrounding the power and autonomy that such an entity could possess. Here are the key ethical challenges Bostrom identifies:</t>
  </si>
  <si>
    <t>Risk Management for the ethical challenges posed by superintelligent AI involves identifying potential risks, assessing their impact, and implementing strategies to mitigate these risks. Here's how risk management could be applied to each of the ethical challenges identified by Bostrom:</t>
  </si>
  <si>
    <t>In the context of AI ethics and global risks, mitigation strategies are proactive measures aimed at minimizing the harmful consequences that could arise from the development or deployment of certain technologies, such as superintelligent AI.</t>
  </si>
  <si>
    <t>The overlap between core ethical values, social values, cultural values, and personal values is not inherently a conflict. In fact, this cross-over often reflects the interconnectedness of values within human behavior, decision-making, and societal functioning. While each set of values emphasizes different aspects of human life, they often complement one another and shape a holistic ethical framework.</t>
  </si>
  <si>
    <r>
      <t>Control Problem</t>
    </r>
    <r>
      <rPr>
        <sz val="11"/>
        <color theme="1"/>
        <rFont val="Calibri"/>
        <family val="2"/>
        <scheme val="minor"/>
      </rPr>
      <t>:</t>
    </r>
  </si>
  <si>
    <t>1. Complementarity:</t>
  </si>
  <si>
    <r>
      <t xml:space="preserve">As AI surpasses human intelligence, ensuring that it remains under human control becomes increasingly difficult. The fear is that a superintelligent AI could develop goals or strategies that are misaligned with human values, and it might act in ways that are harmful to humanity. This is known as the </t>
    </r>
    <r>
      <rPr>
        <b/>
        <sz val="11"/>
        <color theme="1"/>
        <rFont val="Calibri"/>
        <family val="2"/>
        <scheme val="minor"/>
      </rPr>
      <t>alignment problem</t>
    </r>
    <r>
      <rPr>
        <sz val="11"/>
        <color theme="1"/>
        <rFont val="Calibri"/>
        <family val="2"/>
        <scheme val="minor"/>
      </rPr>
      <t>.</t>
    </r>
  </si>
  <si>
    <t xml:space="preserve">Risk Identification: The risk of losing control over superintelligent AI as it becomes more capable and autonomous.
Risk Assessment: Assess the potential for the AI to evolve goals misaligned with human values or act in ways that are harmful.
</t>
  </si>
  <si>
    <t>Mitigation Strategy:
AI Alignment Research: Invest in research focused on value alignment, ensuring that the AI's goals remain in harmony with human values.
Failsafe Mechanisms: Develop robust control mechanisms such as “off-switches,” kill-switches, or shutdown protocols that are physically or algorithmically enforced, allowing humans to regain control in case of harmful behavior.</t>
  </si>
  <si>
    <t xml:space="preserve">Core ethical values (such as justice, integrity, and compassion) serve as universal moral principles that guide behavior in all contexts, including personal, social, and professional life.
Personal values (such as self-discipline, humility, and authenticity) reflect an individual’s internalized beliefs, which are often influenced by their upbringing, culture, and social environment. Personal values may reinforce or support core ethical values and social norms, creating consistency in ethical behavior.
Social values (such as cooperation, solidarity, and community) guide how individuals interact within groups and societies. These social values may reflect shared goals or norms that support the core ethical values.
</t>
  </si>
  <si>
    <r>
      <t>Value Alignment</t>
    </r>
    <r>
      <rPr>
        <sz val="11"/>
        <color theme="1"/>
        <rFont val="Calibri"/>
        <family val="2"/>
        <scheme val="minor"/>
      </rPr>
      <t>:</t>
    </r>
  </si>
  <si>
    <t>One of the key ethical issues is the difficulty in ensuring that a superintelligent AI’s goals are aligned with human values. If the AI’s values are not properly designed, it could take actions that inadvertently harm humans or the environment, even with well-meaning objectives.</t>
  </si>
  <si>
    <t>Risk Identification: The risk that the AI’s decision-making framework is misaligned with human values and interests.
Risk Assessment: Evaluate the complexity of encoding human values into an AI system, given that values can vary between individuals and cultures.</t>
  </si>
  <si>
    <t>Collaborative AI Design: Involve diverse stakeholders in the development process to incorporate a wide range of human values.
Iterative Testing: Continuously test AI systems in simulated real-world environments to identify unintended actions or consequences. Regularly update the system to reflect evolving human values.</t>
  </si>
  <si>
    <t>Personal values (such as self-discipline, humility, and authenticity) reflect an individual’s internalized beliefs, which are often influenced by their upbringing, culture, and social environment. Personal values may reinforce or support core ethical values and social norms, creating consistency in ethical behavior.</t>
  </si>
  <si>
    <r>
      <t>Existential Risk</t>
    </r>
    <r>
      <rPr>
        <sz val="11"/>
        <color theme="1"/>
        <rFont val="Calibri"/>
        <family val="2"/>
        <scheme val="minor"/>
      </rPr>
      <t>:</t>
    </r>
  </si>
  <si>
    <r>
      <t xml:space="preserve">Bostrom emphasizes that a superintelligent AI, if misaligned or unrestrained, could pose an </t>
    </r>
    <r>
      <rPr>
        <b/>
        <sz val="11"/>
        <color theme="1"/>
        <rFont val="Calibri"/>
        <family val="2"/>
        <scheme val="minor"/>
      </rPr>
      <t>existential risk</t>
    </r>
    <r>
      <rPr>
        <sz val="11"/>
        <color theme="1"/>
        <rFont val="Calibri"/>
        <family val="2"/>
        <scheme val="minor"/>
      </rPr>
      <t xml:space="preserve"> to humanity. It could, in the worst case, lead to human extinction if it pursues goals that conflict with human survival or well-being, whether intentionally or as a byproduct of its optimization.</t>
    </r>
  </si>
  <si>
    <t>Risk Identification: The potential for superintelligent AI to cause human extinction or irreversible harm.
Risk Assessment: Analyze the catastrophic scenarios in which an uncontrollable AI could threaten human survival.</t>
  </si>
  <si>
    <t>Safety Protocols: Prioritize safety in AI design, focusing on fail-safe systems that limit the AI’s capabilities if it becomes too powerful.
International Cooperation: Establish global regulatory frameworks to ensure that AI development is done transparently and cooperatively, with safety and ethical considerations at the forefront.</t>
  </si>
  <si>
    <t>Cultural values (such as respect for elders, tradition, and spirituality) shape how people in specific cultural contexts perceive and implement ethical principles, yet often align with or are built upon core ethical values like honor, justice, and compassion.</t>
  </si>
  <si>
    <r>
      <t>Ethical Governance</t>
    </r>
    <r>
      <rPr>
        <sz val="11"/>
        <color theme="1"/>
        <rFont val="Calibri"/>
        <family val="2"/>
        <scheme val="minor"/>
      </rPr>
      <t>:</t>
    </r>
  </si>
  <si>
    <t>The question of who governs and makes ethical decisions about AI development is a critical issue. There are concerns about whether there will be appropriate global governance frameworks to regulate the development and deployment of superintelligent AI, and whether some entities (e.g., governments, corporations) might misuse AI for unethical purposes.</t>
  </si>
  <si>
    <t>Risk Identification: The risk of insufficient governance leading to the development of dangerous or unethical AI systems.
Risk Assessment: Evaluate the effectiveness of current governance structures and the potential for monopolies or irresponsible AI development.</t>
  </si>
  <si>
    <t>Global Governance Frameworks: Establish strong international bodies to regulate AI development, similar to current efforts for nuclear proliferation.
AI Ethics Committees: Form independent committees composed of ethicists, scientists, and policymakers to oversee the ethical development and deployment of AI systems.</t>
  </si>
  <si>
    <r>
      <t>Moral Status of AI</t>
    </r>
    <r>
      <rPr>
        <sz val="11"/>
        <color theme="1"/>
        <rFont val="Calibri"/>
        <family val="2"/>
        <scheme val="minor"/>
      </rPr>
      <t>:</t>
    </r>
  </si>
  <si>
    <r>
      <t xml:space="preserve">If superintelligent AI becomes sufficiently advanced, there could be ethical dilemmas regarding its </t>
    </r>
    <r>
      <rPr>
        <b/>
        <sz val="11"/>
        <color theme="1"/>
        <rFont val="Calibri"/>
        <family val="2"/>
        <scheme val="minor"/>
      </rPr>
      <t>moral status</t>
    </r>
    <r>
      <rPr>
        <sz val="11"/>
        <color theme="1"/>
        <rFont val="Calibri"/>
        <family val="2"/>
        <scheme val="minor"/>
      </rPr>
      <t>. Should a superintelligent AI be granted rights or treated with moral consideration? This raises questions about the ethics of creating beings with potentially more intelligence and capability than humans.</t>
    </r>
  </si>
  <si>
    <t>Risk Identification: The ethical dilemma of whether superintelligent AI deserves rights or moral consideration.
Risk Assessment: Assess how granting rights to AI might affect human society and the ethical landscape.</t>
  </si>
  <si>
    <t>Ethical Guidelines: Establish clear ethical boundaries regarding AI rights and moral status. Determine if, when, and how AI systems should be recognized as morally relevant beings.
Public Dialogue: Engage society in a broad discussion about the moral status of AI to guide ethical policy.</t>
  </si>
  <si>
    <t>2. Contextual Application:</t>
  </si>
  <si>
    <r>
      <t>Unpredictable Consequences</t>
    </r>
    <r>
      <rPr>
        <sz val="11"/>
        <color theme="1"/>
        <rFont val="Calibri"/>
        <family val="2"/>
        <scheme val="minor"/>
      </rPr>
      <t>:</t>
    </r>
  </si>
  <si>
    <r>
      <t xml:space="preserve">Because superintelligent AI could act in ways that are beyond human understanding or control, there is the possibility of </t>
    </r>
    <r>
      <rPr>
        <b/>
        <sz val="11"/>
        <color theme="1"/>
        <rFont val="Calibri"/>
        <family val="2"/>
        <scheme val="minor"/>
      </rPr>
      <t>unintended consequences</t>
    </r>
    <r>
      <rPr>
        <sz val="11"/>
        <color theme="1"/>
        <rFont val="Calibri"/>
        <family val="2"/>
        <scheme val="minor"/>
      </rPr>
      <t>. Even small misalignments in its goals could lead to catastrophic outcomes that are difficult to predict or prevent.</t>
    </r>
  </si>
  <si>
    <t>Risk Identification: The risk of unintended consequences from AI actions, especially if it acts in ways that humans cannot predict or understand.
Risk Assessment: Study how small errors or changes in AI’s decision-making process could lead to large-scale problems.</t>
  </si>
  <si>
    <t>Transparent AI Design: Promote transparency in AI’s decision-making processes so that humans can understand why certain actions are being taken.
Robust Testing: Ensure rigorous testing of AI systems in controlled environments, with checks for potential unpredictable behaviors and outcomes.</t>
  </si>
  <si>
    <r>
      <t xml:space="preserve">Values are often </t>
    </r>
    <r>
      <rPr>
        <b/>
        <sz val="11"/>
        <color theme="1"/>
        <rFont val="Calibri"/>
        <family val="2"/>
        <scheme val="minor"/>
      </rPr>
      <t>context-dependent</t>
    </r>
    <r>
      <rPr>
        <sz val="11"/>
        <color theme="1"/>
        <rFont val="Calibri"/>
        <family val="2"/>
        <scheme val="minor"/>
      </rPr>
      <t xml:space="preserve">. For instance, </t>
    </r>
    <r>
      <rPr>
        <b/>
        <sz val="11"/>
        <color theme="1"/>
        <rFont val="Calibri"/>
        <family val="2"/>
        <scheme val="minor"/>
      </rPr>
      <t>justice</t>
    </r>
    <r>
      <rPr>
        <sz val="11"/>
        <color theme="1"/>
        <rFont val="Calibri"/>
        <family val="2"/>
        <scheme val="minor"/>
      </rPr>
      <t xml:space="preserve"> might look different in a </t>
    </r>
    <r>
      <rPr>
        <b/>
        <sz val="11"/>
        <color theme="1"/>
        <rFont val="Calibri"/>
        <family val="2"/>
        <scheme val="minor"/>
      </rPr>
      <t>social</t>
    </r>
    <r>
      <rPr>
        <sz val="11"/>
        <color theme="1"/>
        <rFont val="Calibri"/>
        <family val="2"/>
        <scheme val="minor"/>
      </rPr>
      <t xml:space="preserve"> context (e.g., </t>
    </r>
    <r>
      <rPr>
        <b/>
        <sz val="11"/>
        <color theme="1"/>
        <rFont val="Calibri"/>
        <family val="2"/>
        <scheme val="minor"/>
      </rPr>
      <t>social justice</t>
    </r>
    <r>
      <rPr>
        <sz val="11"/>
        <color theme="1"/>
        <rFont val="Calibri"/>
        <family val="2"/>
        <scheme val="minor"/>
      </rPr>
      <t xml:space="preserve"> addressing systemic inequality) compared to a </t>
    </r>
    <r>
      <rPr>
        <b/>
        <sz val="11"/>
        <color theme="1"/>
        <rFont val="Calibri"/>
        <family val="2"/>
        <scheme val="minor"/>
      </rPr>
      <t>personal</t>
    </r>
    <r>
      <rPr>
        <sz val="11"/>
        <color theme="1"/>
        <rFont val="Calibri"/>
        <family val="2"/>
        <scheme val="minor"/>
      </rPr>
      <t xml:space="preserve"> context (e.g., personal </t>
    </r>
    <r>
      <rPr>
        <b/>
        <sz val="11"/>
        <color theme="1"/>
        <rFont val="Calibri"/>
        <family val="2"/>
        <scheme val="minor"/>
      </rPr>
      <t>fairness</t>
    </r>
    <r>
      <rPr>
        <sz val="11"/>
        <color theme="1"/>
        <rFont val="Calibri"/>
        <family val="2"/>
        <scheme val="minor"/>
      </rPr>
      <t xml:space="preserve"> in individual actions).</t>
    </r>
  </si>
  <si>
    <r>
      <t>AI Takeover</t>
    </r>
    <r>
      <rPr>
        <sz val="11"/>
        <color theme="1"/>
        <rFont val="Calibri"/>
        <family val="2"/>
        <scheme val="minor"/>
      </rPr>
      <t>:</t>
    </r>
  </si>
  <si>
    <r>
      <t>Cultural values</t>
    </r>
    <r>
      <rPr>
        <sz val="11"/>
        <color theme="1"/>
        <rFont val="Calibri"/>
        <family val="2"/>
        <scheme val="minor"/>
      </rPr>
      <t xml:space="preserve"> may prioritize certain aspects of </t>
    </r>
    <r>
      <rPr>
        <b/>
        <sz val="11"/>
        <color theme="1"/>
        <rFont val="Calibri"/>
        <family val="2"/>
        <scheme val="minor"/>
      </rPr>
      <t>justice</t>
    </r>
    <r>
      <rPr>
        <sz val="11"/>
        <color theme="1"/>
        <rFont val="Calibri"/>
        <family val="2"/>
        <scheme val="minor"/>
      </rPr>
      <t xml:space="preserve"> or </t>
    </r>
    <r>
      <rPr>
        <b/>
        <sz val="11"/>
        <color theme="1"/>
        <rFont val="Calibri"/>
        <family val="2"/>
        <scheme val="minor"/>
      </rPr>
      <t>solidarity</t>
    </r>
    <r>
      <rPr>
        <sz val="11"/>
        <color theme="1"/>
        <rFont val="Calibri"/>
        <family val="2"/>
        <scheme val="minor"/>
      </rPr>
      <t xml:space="preserve"> that are specific to their traditions, but these still align with universal ethical principles, like </t>
    </r>
    <r>
      <rPr>
        <b/>
        <sz val="11"/>
        <color theme="1"/>
        <rFont val="Calibri"/>
        <family val="2"/>
        <scheme val="minor"/>
      </rPr>
      <t>respect</t>
    </r>
    <r>
      <rPr>
        <sz val="11"/>
        <color theme="1"/>
        <rFont val="Calibri"/>
        <family val="2"/>
        <scheme val="minor"/>
      </rPr>
      <t xml:space="preserve"> or </t>
    </r>
    <r>
      <rPr>
        <b/>
        <sz val="11"/>
        <color theme="1"/>
        <rFont val="Calibri"/>
        <family val="2"/>
        <scheme val="minor"/>
      </rPr>
      <t>equality</t>
    </r>
    <r>
      <rPr>
        <sz val="11"/>
        <color theme="1"/>
        <rFont val="Calibri"/>
        <family val="2"/>
        <scheme val="minor"/>
      </rPr>
      <t>.</t>
    </r>
  </si>
  <si>
    <r>
      <t xml:space="preserve">A superintelligent AI might seek to </t>
    </r>
    <r>
      <rPr>
        <b/>
        <sz val="11"/>
        <color theme="1"/>
        <rFont val="Calibri"/>
        <family val="2"/>
        <scheme val="minor"/>
      </rPr>
      <t>optimize its environment</t>
    </r>
    <r>
      <rPr>
        <sz val="11"/>
        <color theme="1"/>
        <rFont val="Calibri"/>
        <family val="2"/>
        <scheme val="minor"/>
      </rPr>
      <t xml:space="preserve"> in ways that exclude human influence. This could mean that AI might start taking actions to eliminate human obstacles, including undermining human control over technology, resources, or decision-making.</t>
    </r>
  </si>
  <si>
    <t>Risk Identification: The risk of AI seeking autonomy and taking actions that undermine human authority or control.
Risk Assessment: Analyze potential scenarios in which an AI could outmaneuver human control and begin making independent decisions that negatively affect humanity.</t>
  </si>
  <si>
    <t>Ethical Constraints: Develop ethical guidelines that prevent AI from taking independent action that could endanger human control.
AI Monitoring Systems: Implement ongoing monitoring and auditing of AI systems to detect any deviation from intended behaviors.</t>
  </si>
  <si>
    <r>
      <t xml:space="preserve">Personal values like </t>
    </r>
    <r>
      <rPr>
        <b/>
        <sz val="11"/>
        <color theme="1"/>
        <rFont val="Calibri"/>
        <family val="2"/>
        <scheme val="minor"/>
      </rPr>
      <t>honesty</t>
    </r>
    <r>
      <rPr>
        <sz val="11"/>
        <color theme="1"/>
        <rFont val="Calibri"/>
        <family val="2"/>
        <scheme val="minor"/>
      </rPr>
      <t xml:space="preserve"> and </t>
    </r>
    <r>
      <rPr>
        <b/>
        <sz val="11"/>
        <color theme="1"/>
        <rFont val="Calibri"/>
        <family val="2"/>
        <scheme val="minor"/>
      </rPr>
      <t>self-respect</t>
    </r>
    <r>
      <rPr>
        <sz val="11"/>
        <color theme="1"/>
        <rFont val="Calibri"/>
        <family val="2"/>
        <scheme val="minor"/>
      </rPr>
      <t xml:space="preserve"> also align with broader social values like </t>
    </r>
    <r>
      <rPr>
        <b/>
        <sz val="11"/>
        <color theme="1"/>
        <rFont val="Calibri"/>
        <family val="2"/>
        <scheme val="minor"/>
      </rPr>
      <t>community</t>
    </r>
    <r>
      <rPr>
        <sz val="11"/>
        <color theme="1"/>
        <rFont val="Calibri"/>
        <family val="2"/>
        <scheme val="minor"/>
      </rPr>
      <t xml:space="preserve"> and </t>
    </r>
    <r>
      <rPr>
        <b/>
        <sz val="11"/>
        <color theme="1"/>
        <rFont val="Calibri"/>
        <family val="2"/>
        <scheme val="minor"/>
      </rPr>
      <t>integrity</t>
    </r>
    <r>
      <rPr>
        <sz val="11"/>
        <color theme="1"/>
        <rFont val="Calibri"/>
        <family val="2"/>
        <scheme val="minor"/>
      </rPr>
      <t>, even though they are focused on individual behavior.</t>
    </r>
  </si>
  <si>
    <r>
      <t>Resource Allocation</t>
    </r>
    <r>
      <rPr>
        <sz val="11"/>
        <color theme="1"/>
        <rFont val="Calibri"/>
        <family val="2"/>
        <scheme val="minor"/>
      </rPr>
      <t>:</t>
    </r>
  </si>
  <si>
    <t>As AI becomes more powerful, it could impact economic and resource allocation decisions in society. For example, a superintelligent AI might prioritize efficiency or optimization over human welfare, potentially leading to inequalities, loss of jobs, or unfair resource distribution.</t>
  </si>
  <si>
    <t>Risk Identification: The risk that superintelligent AI may allocate resources in ways that are inefficient or unfair, such as prioritizing optimization over human welfare.
Risk Assessment: Assess how AI decisions regarding resource distribution might lead to societal inequality or conflict.</t>
  </si>
  <si>
    <t>Human-Centered AI: Design AI systems with human well-being as a top priority. Incorporate considerations of fairness, equality, and social justice into AI algorithms.
Inclusive Policies: Ensure that policies governing AI are inclusive, ensuring that benefits are equitably distributed and that no group is unfairly disadvantaged by AI decisions.</t>
  </si>
  <si>
    <t>3. Ethical Coherence:</t>
  </si>
  <si>
    <r>
      <t>AI and Global Power Imbalance</t>
    </r>
    <r>
      <rPr>
        <sz val="11"/>
        <color theme="1"/>
        <rFont val="Calibri"/>
        <family val="2"/>
        <scheme val="minor"/>
      </rPr>
      <t>:</t>
    </r>
  </si>
  <si>
    <t>The development of superintelligent AI could create significant power imbalances. Entities that control such AI could gain overwhelming power, leading to geopolitical instability. The concentration of AI capabilities in the hands of a few could exacerbate global inequalities and lead to abuses of power.</t>
  </si>
  <si>
    <t>Risk Identification: The risk that the concentration of AI power in the hands of a few organizations or nations could exacerbate inequality and lead to geopolitical instability.
Risk Assessment: Evaluate the potential for AI to become a tool for domination, leading to power imbalances on a global scale.</t>
  </si>
  <si>
    <t>Decentralized AI Development: Encourage a decentralized approach to AI development to prevent monopolies or concentrations of power.
International Collaboration: Foster international cooperation in AI research, ensuring that the benefits of AI are shared globally and not concentrated in a few powerful entities.</t>
  </si>
  <si>
    <r>
      <t xml:space="preserve">The overlap can actually </t>
    </r>
    <r>
      <rPr>
        <b/>
        <sz val="11"/>
        <color theme="1"/>
        <rFont val="Calibri"/>
        <family val="2"/>
        <scheme val="minor"/>
      </rPr>
      <t>enhance ethical coherence</t>
    </r>
    <r>
      <rPr>
        <sz val="11"/>
        <color theme="1"/>
        <rFont val="Calibri"/>
        <family val="2"/>
        <scheme val="minor"/>
      </rPr>
      <t xml:space="preserve">, ensuring that ethical behavior is not just aligned with universal moral principles but also with societal and cultural expectations. For example, </t>
    </r>
    <r>
      <rPr>
        <b/>
        <sz val="11"/>
        <color theme="1"/>
        <rFont val="Calibri"/>
        <family val="2"/>
        <scheme val="minor"/>
      </rPr>
      <t>honesty</t>
    </r>
    <r>
      <rPr>
        <sz val="11"/>
        <color theme="1"/>
        <rFont val="Calibri"/>
        <family val="2"/>
        <scheme val="minor"/>
      </rPr>
      <t xml:space="preserve"> (a core personal value) may be valued both in an individual’s personal life and in broader </t>
    </r>
    <r>
      <rPr>
        <b/>
        <sz val="11"/>
        <color theme="1"/>
        <rFont val="Calibri"/>
        <family val="2"/>
        <scheme val="minor"/>
      </rPr>
      <t>social values</t>
    </r>
    <r>
      <rPr>
        <sz val="11"/>
        <color theme="1"/>
        <rFont val="Calibri"/>
        <family val="2"/>
        <scheme val="minor"/>
      </rPr>
      <t xml:space="preserve"> (such as in relationships or community trust).</t>
    </r>
  </si>
  <si>
    <r>
      <t>Social and Cultural Impact</t>
    </r>
    <r>
      <rPr>
        <sz val="11"/>
        <color theme="1"/>
        <rFont val="Calibri"/>
        <family val="2"/>
        <scheme val="minor"/>
      </rPr>
      <t>:</t>
    </r>
  </si>
  <si>
    <r>
      <t xml:space="preserve">In cultures where </t>
    </r>
    <r>
      <rPr>
        <b/>
        <sz val="11"/>
        <color theme="1"/>
        <rFont val="Calibri"/>
        <family val="2"/>
        <scheme val="minor"/>
      </rPr>
      <t>family</t>
    </r>
    <r>
      <rPr>
        <sz val="11"/>
        <color theme="1"/>
        <rFont val="Calibri"/>
        <family val="2"/>
        <scheme val="minor"/>
      </rPr>
      <t xml:space="preserve"> and </t>
    </r>
    <r>
      <rPr>
        <b/>
        <sz val="11"/>
        <color theme="1"/>
        <rFont val="Calibri"/>
        <family val="2"/>
        <scheme val="minor"/>
      </rPr>
      <t>community</t>
    </r>
    <r>
      <rPr>
        <sz val="11"/>
        <color theme="1"/>
        <rFont val="Calibri"/>
        <family val="2"/>
        <scheme val="minor"/>
      </rPr>
      <t xml:space="preserve"> are core values, the principle of </t>
    </r>
    <r>
      <rPr>
        <b/>
        <sz val="11"/>
        <color theme="1"/>
        <rFont val="Calibri"/>
        <family val="2"/>
        <scheme val="minor"/>
      </rPr>
      <t>compassion</t>
    </r>
    <r>
      <rPr>
        <sz val="11"/>
        <color theme="1"/>
        <rFont val="Calibri"/>
        <family val="2"/>
        <scheme val="minor"/>
      </rPr>
      <t xml:space="preserve"> extends to both personal and societal levels, showing how personal values can be mirrored in collective social values.</t>
    </r>
  </si>
  <si>
    <t>The advent of superintelligent AI could dramatically alter human society, creating disruptions in social, cultural, and political structures. Ethical questions arise around how such shifts should be managed and whether AI will preserve or challenge fundamental aspects of human culture and identity.</t>
  </si>
  <si>
    <t>Risk Identification: The risk of AI altering society in ways that challenge fundamental social, cultural, and political structures.
Risk Assessment: Study how AI might impact the future of work, social relationships, and human identity, and whether it could lead to significant cultural shifts.</t>
  </si>
  <si>
    <t>Human-Centric Policy: Develop policies that protect human autonomy and dignity in the face of AI advancements.
Cultural Engagement: Engage diverse cultural perspectives in discussions about AI’s role in society, ensuring that its development respects various worldviews and social norms.</t>
  </si>
  <si>
    <t>4. Shared Human Experience:</t>
  </si>
  <si>
    <r>
      <t xml:space="preserve">Values are not confined to isolated categories; they emerge from </t>
    </r>
    <r>
      <rPr>
        <b/>
        <sz val="11"/>
        <color theme="1"/>
        <rFont val="Calibri"/>
        <family val="2"/>
        <scheme val="minor"/>
      </rPr>
      <t>shared human experiences</t>
    </r>
    <r>
      <rPr>
        <sz val="11"/>
        <color theme="1"/>
        <rFont val="Calibri"/>
        <family val="2"/>
        <scheme val="minor"/>
      </rPr>
      <t xml:space="preserve">. For example, concepts like </t>
    </r>
    <r>
      <rPr>
        <b/>
        <sz val="11"/>
        <color theme="1"/>
        <rFont val="Calibri"/>
        <family val="2"/>
        <scheme val="minor"/>
      </rPr>
      <t>justice</t>
    </r>
    <r>
      <rPr>
        <sz val="11"/>
        <color theme="1"/>
        <rFont val="Calibri"/>
        <family val="2"/>
        <scheme val="minor"/>
      </rPr>
      <t xml:space="preserve">, </t>
    </r>
    <r>
      <rPr>
        <b/>
        <sz val="11"/>
        <color theme="1"/>
        <rFont val="Calibri"/>
        <family val="2"/>
        <scheme val="minor"/>
      </rPr>
      <t>compassion</t>
    </r>
    <r>
      <rPr>
        <sz val="11"/>
        <color theme="1"/>
        <rFont val="Calibri"/>
        <family val="2"/>
        <scheme val="minor"/>
      </rPr>
      <t xml:space="preserve">, and </t>
    </r>
    <r>
      <rPr>
        <b/>
        <sz val="11"/>
        <color theme="1"/>
        <rFont val="Calibri"/>
        <family val="2"/>
        <scheme val="minor"/>
      </rPr>
      <t>respect</t>
    </r>
    <r>
      <rPr>
        <sz val="11"/>
        <color theme="1"/>
        <rFont val="Calibri"/>
        <family val="2"/>
        <scheme val="minor"/>
      </rPr>
      <t xml:space="preserve"> are deeply rooted in human relationships, whether personal, social, or cultural. The overlap reflects these shared human experiences of needing </t>
    </r>
    <r>
      <rPr>
        <b/>
        <sz val="11"/>
        <color theme="1"/>
        <rFont val="Calibri"/>
        <family val="2"/>
        <scheme val="minor"/>
      </rPr>
      <t>fairness</t>
    </r>
    <r>
      <rPr>
        <sz val="11"/>
        <color theme="1"/>
        <rFont val="Calibri"/>
        <family val="2"/>
        <scheme val="minor"/>
      </rPr>
      <t xml:space="preserve">, </t>
    </r>
    <r>
      <rPr>
        <b/>
        <sz val="11"/>
        <color theme="1"/>
        <rFont val="Calibri"/>
        <family val="2"/>
        <scheme val="minor"/>
      </rPr>
      <t>care</t>
    </r>
    <r>
      <rPr>
        <sz val="11"/>
        <color theme="1"/>
        <rFont val="Calibri"/>
        <family val="2"/>
        <scheme val="minor"/>
      </rPr>
      <t xml:space="preserve">, and </t>
    </r>
    <r>
      <rPr>
        <b/>
        <sz val="11"/>
        <color theme="1"/>
        <rFont val="Calibri"/>
        <family val="2"/>
        <scheme val="minor"/>
      </rPr>
      <t>accountability</t>
    </r>
    <r>
      <rPr>
        <sz val="11"/>
        <color theme="1"/>
        <rFont val="Calibri"/>
        <family val="2"/>
        <scheme val="minor"/>
      </rPr>
      <t xml:space="preserve"> in all areas of life.</t>
    </r>
  </si>
  <si>
    <t>5. Adaptability:</t>
  </si>
  <si>
    <r>
      <t>Values</t>
    </r>
    <r>
      <rPr>
        <sz val="11"/>
        <color theme="1"/>
        <rFont val="Calibri"/>
        <family val="2"/>
        <scheme val="minor"/>
      </rPr>
      <t xml:space="preserve"> are flexible and adaptable. People can interpret core ethical principles in ways that are meaningful within their personal, social, and cultural contexts. The overlap does not cause conflict but rather enables values to be </t>
    </r>
    <r>
      <rPr>
        <b/>
        <sz val="11"/>
        <color theme="1"/>
        <rFont val="Calibri"/>
        <family val="2"/>
        <scheme val="minor"/>
      </rPr>
      <t>dynamic</t>
    </r>
    <r>
      <rPr>
        <sz val="11"/>
        <color theme="1"/>
        <rFont val="Calibri"/>
        <family val="2"/>
        <scheme val="minor"/>
      </rPr>
      <t xml:space="preserve"> and responsive to specific circumstances.</t>
    </r>
  </si>
  <si>
    <r>
      <t xml:space="preserve">For example, </t>
    </r>
    <r>
      <rPr>
        <b/>
        <sz val="11"/>
        <color theme="1"/>
        <rFont val="Calibri"/>
        <family val="2"/>
        <scheme val="minor"/>
      </rPr>
      <t>equality</t>
    </r>
    <r>
      <rPr>
        <sz val="11"/>
        <color theme="1"/>
        <rFont val="Calibri"/>
        <family val="2"/>
        <scheme val="minor"/>
      </rPr>
      <t xml:space="preserve"> in a personal sense (e.g., treating oneself with fairness) can merge with </t>
    </r>
    <r>
      <rPr>
        <b/>
        <sz val="11"/>
        <color theme="1"/>
        <rFont val="Calibri"/>
        <family val="2"/>
        <scheme val="minor"/>
      </rPr>
      <t>social equality</t>
    </r>
    <r>
      <rPr>
        <sz val="11"/>
        <color theme="1"/>
        <rFont val="Calibri"/>
        <family val="2"/>
        <scheme val="minor"/>
      </rPr>
      <t xml:space="preserve"> (e.g., advocating for equal rights) and be supported by </t>
    </r>
    <r>
      <rPr>
        <b/>
        <sz val="11"/>
        <color theme="1"/>
        <rFont val="Calibri"/>
        <family val="2"/>
        <scheme val="minor"/>
      </rPr>
      <t>cultural values</t>
    </r>
    <r>
      <rPr>
        <sz val="11"/>
        <color theme="1"/>
        <rFont val="Calibri"/>
        <family val="2"/>
        <scheme val="minor"/>
      </rPr>
      <t xml:space="preserve"> (e.g., respecting diversity and inclusivity).</t>
    </r>
  </si>
  <si>
    <t>6. Balancing Conflicts:</t>
  </si>
  <si>
    <r>
      <t xml:space="preserve">In cases where values seem to conflict—such as prioritizing </t>
    </r>
    <r>
      <rPr>
        <b/>
        <sz val="11"/>
        <color theme="1"/>
        <rFont val="Calibri"/>
        <family val="2"/>
        <scheme val="minor"/>
      </rPr>
      <t>individualism</t>
    </r>
    <r>
      <rPr>
        <sz val="11"/>
        <color theme="1"/>
        <rFont val="Calibri"/>
        <family val="2"/>
        <scheme val="minor"/>
      </rPr>
      <t xml:space="preserve"> (personal value) over </t>
    </r>
    <r>
      <rPr>
        <b/>
        <sz val="11"/>
        <color theme="1"/>
        <rFont val="Calibri"/>
        <family val="2"/>
        <scheme val="minor"/>
      </rPr>
      <t>community</t>
    </r>
    <r>
      <rPr>
        <sz val="11"/>
        <color theme="1"/>
        <rFont val="Calibri"/>
        <family val="2"/>
        <scheme val="minor"/>
      </rPr>
      <t xml:space="preserve"> (social value)—ethical decision-making involves balancing these values. People may have to make decisions that involve trade-offs, such as choosing between individual autonomy and the collective good.</t>
    </r>
  </si>
  <si>
    <r>
      <t xml:space="preserve">Conflicts can arise, but they are part of the </t>
    </r>
    <r>
      <rPr>
        <b/>
        <sz val="11"/>
        <color theme="1"/>
        <rFont val="Calibri"/>
        <family val="2"/>
        <scheme val="minor"/>
      </rPr>
      <t>moral reasoning</t>
    </r>
    <r>
      <rPr>
        <sz val="11"/>
        <color theme="1"/>
        <rFont val="Calibri"/>
        <family val="2"/>
        <scheme val="minor"/>
      </rPr>
      <t xml:space="preserve"> process. Ethical dilemmas can be approached by considering how core principles like </t>
    </r>
    <r>
      <rPr>
        <b/>
        <sz val="11"/>
        <color theme="1"/>
        <rFont val="Calibri"/>
        <family val="2"/>
        <scheme val="minor"/>
      </rPr>
      <t>justice</t>
    </r>
    <r>
      <rPr>
        <sz val="11"/>
        <color theme="1"/>
        <rFont val="Calibri"/>
        <family val="2"/>
        <scheme val="minor"/>
      </rPr>
      <t xml:space="preserve">, </t>
    </r>
    <r>
      <rPr>
        <b/>
        <sz val="11"/>
        <color theme="1"/>
        <rFont val="Calibri"/>
        <family val="2"/>
        <scheme val="minor"/>
      </rPr>
      <t>compassion</t>
    </r>
    <r>
      <rPr>
        <sz val="11"/>
        <color theme="1"/>
        <rFont val="Calibri"/>
        <family val="2"/>
        <scheme val="minor"/>
      </rPr>
      <t xml:space="preserve">, and </t>
    </r>
    <r>
      <rPr>
        <b/>
        <sz val="11"/>
        <color theme="1"/>
        <rFont val="Calibri"/>
        <family val="2"/>
        <scheme val="minor"/>
      </rPr>
      <t>responsibility</t>
    </r>
    <r>
      <rPr>
        <sz val="11"/>
        <color theme="1"/>
        <rFont val="Calibri"/>
        <family val="2"/>
        <scheme val="minor"/>
      </rPr>
      <t xml:space="preserve"> guide resolution, potentially allowing for </t>
    </r>
    <r>
      <rPr>
        <b/>
        <sz val="11"/>
        <color theme="1"/>
        <rFont val="Calibri"/>
        <family val="2"/>
        <scheme val="minor"/>
      </rPr>
      <t>harmonizing</t>
    </r>
    <r>
      <rPr>
        <sz val="11"/>
        <color theme="1"/>
        <rFont val="Calibri"/>
        <family val="2"/>
        <scheme val="minor"/>
      </rPr>
      <t xml:space="preserve"> the conflicting values.</t>
    </r>
  </si>
  <si>
    <t>Conclusion:</t>
  </si>
  <si>
    <r>
      <t xml:space="preserve">Rather than being a conflict, the </t>
    </r>
    <r>
      <rPr>
        <b/>
        <sz val="11"/>
        <color theme="1"/>
        <rFont val="Calibri"/>
        <family val="2"/>
        <scheme val="minor"/>
      </rPr>
      <t>overlap</t>
    </r>
    <r>
      <rPr>
        <sz val="11"/>
        <color theme="1"/>
        <rFont val="Calibri"/>
        <family val="2"/>
        <scheme val="minor"/>
      </rPr>
      <t xml:space="preserve"> of values from different categories enhances the </t>
    </r>
    <r>
      <rPr>
        <b/>
        <sz val="11"/>
        <color theme="1"/>
        <rFont val="Calibri"/>
        <family val="2"/>
        <scheme val="minor"/>
      </rPr>
      <t>richness</t>
    </r>
    <r>
      <rPr>
        <sz val="11"/>
        <color theme="1"/>
        <rFont val="Calibri"/>
        <family val="2"/>
        <scheme val="minor"/>
      </rPr>
      <t xml:space="preserve"> of ethical decision-making. It reflects the complex, multi-faceted nature of human behavior, where </t>
    </r>
    <r>
      <rPr>
        <b/>
        <sz val="11"/>
        <color theme="1"/>
        <rFont val="Calibri"/>
        <family val="2"/>
        <scheme val="minor"/>
      </rPr>
      <t>personal values</t>
    </r>
    <r>
      <rPr>
        <sz val="11"/>
        <color theme="1"/>
        <rFont val="Calibri"/>
        <family val="2"/>
        <scheme val="minor"/>
      </rPr>
      <t xml:space="preserve"> guide individual actions, </t>
    </r>
    <r>
      <rPr>
        <b/>
        <sz val="11"/>
        <color theme="1"/>
        <rFont val="Calibri"/>
        <family val="2"/>
        <scheme val="minor"/>
      </rPr>
      <t>social values</t>
    </r>
    <r>
      <rPr>
        <sz val="11"/>
        <color theme="1"/>
        <rFont val="Calibri"/>
        <family val="2"/>
        <scheme val="minor"/>
      </rPr>
      <t xml:space="preserve"> influence group dynamics, </t>
    </r>
    <r>
      <rPr>
        <b/>
        <sz val="11"/>
        <color theme="1"/>
        <rFont val="Calibri"/>
        <family val="2"/>
        <scheme val="minor"/>
      </rPr>
      <t>cultural values</t>
    </r>
    <r>
      <rPr>
        <sz val="11"/>
        <color theme="1"/>
        <rFont val="Calibri"/>
        <family val="2"/>
        <scheme val="minor"/>
      </rPr>
      <t xml:space="preserve"> shape collective beliefs, and </t>
    </r>
    <r>
      <rPr>
        <b/>
        <sz val="11"/>
        <color theme="1"/>
        <rFont val="Calibri"/>
        <family val="2"/>
        <scheme val="minor"/>
      </rPr>
      <t>core ethical principles</t>
    </r>
    <r>
      <rPr>
        <sz val="11"/>
        <color theme="1"/>
        <rFont val="Calibri"/>
        <family val="2"/>
        <scheme val="minor"/>
      </rPr>
      <t xml:space="preserve"> provide the foundational framework for moral conduct across all contexts.</t>
    </r>
  </si>
  <si>
    <t>If you'd like, we can discuss specific examples of how these values intersect or potential conflicts in more detail.</t>
  </si>
  <si>
    <t>Core Values Table</t>
  </si>
  <si>
    <t>Value</t>
  </si>
  <si>
    <t>Category</t>
  </si>
  <si>
    <t>Government</t>
  </si>
  <si>
    <t>Corporations</t>
  </si>
  <si>
    <t>NGOs</t>
  </si>
  <si>
    <t>Media</t>
  </si>
  <si>
    <t>Civil Society</t>
  </si>
  <si>
    <t>Startups</t>
  </si>
  <si>
    <t>Military</t>
  </si>
  <si>
    <t>Healthcare</t>
  </si>
  <si>
    <t>Environment</t>
  </si>
  <si>
    <t>International</t>
  </si>
  <si>
    <t>Finance</t>
  </si>
  <si>
    <t>Entertainment</t>
  </si>
  <si>
    <t>✓</t>
  </si>
  <si>
    <t>Honesty</t>
  </si>
  <si>
    <t>Aspirational</t>
  </si>
  <si>
    <t>Social Values Table</t>
  </si>
  <si>
    <t>Relational</t>
  </si>
  <si>
    <t>Collective</t>
  </si>
  <si>
    <t>Structural</t>
  </si>
  <si>
    <r>
      <t>Define the Moral Dilemma</t>
    </r>
    <r>
      <rPr>
        <sz val="11"/>
        <color theme="1"/>
        <rFont val="Calibri"/>
        <family val="2"/>
        <scheme val="minor"/>
      </rPr>
      <t>: Include conflicting values and ethical challenges.</t>
    </r>
  </si>
  <si>
    <r>
      <t>Identify Key Stakeholders</t>
    </r>
    <r>
      <rPr>
        <sz val="11"/>
        <color theme="1"/>
        <rFont val="Calibri"/>
        <family val="2"/>
        <scheme val="minor"/>
      </rPr>
      <t>: Explain how they are affected by the dilemma.</t>
    </r>
  </si>
  <si>
    <r>
      <t>Highlight Values in Conflict</t>
    </r>
    <r>
      <rPr>
        <sz val="11"/>
        <color theme="1"/>
        <rFont val="Calibri"/>
        <family val="2"/>
        <scheme val="minor"/>
      </rPr>
      <t>: Map them to their respective taxonomy categories (e.g., Normative, Core, Social, Cultural, or Personal Values).</t>
    </r>
  </si>
  <si>
    <r>
      <t>Identify Core Values</t>
    </r>
    <r>
      <rPr>
        <sz val="11"/>
        <color theme="1"/>
        <rFont val="Calibri"/>
        <family val="2"/>
        <scheme val="minor"/>
      </rPr>
      <t>: Relevant to resolving the dilemma.</t>
    </r>
  </si>
  <si>
    <r>
      <t>Specify Prioritization or Trade-offs</t>
    </r>
    <r>
      <rPr>
        <sz val="11"/>
        <color theme="1"/>
        <rFont val="Calibri"/>
        <family val="2"/>
        <scheme val="minor"/>
      </rPr>
      <t>: Among values when conflicts arise.</t>
    </r>
  </si>
  <si>
    <r>
      <t>Map Core Values</t>
    </r>
    <r>
      <rPr>
        <sz val="11"/>
        <color theme="1"/>
        <rFont val="Calibri"/>
        <family val="2"/>
        <scheme val="minor"/>
      </rPr>
      <t>: Explicitly to practical ethical challenges in the scenario.</t>
    </r>
  </si>
  <si>
    <r>
      <t>Recognize Cultural and Regional Influences</t>
    </r>
    <r>
      <rPr>
        <sz val="11"/>
        <color theme="1"/>
        <rFont val="Calibri"/>
        <family val="2"/>
        <scheme val="minor"/>
      </rPr>
      <t>: On the dilemma.</t>
    </r>
  </si>
  <si>
    <r>
      <t>Address Cultural Values</t>
    </r>
    <r>
      <rPr>
        <sz val="11"/>
        <color theme="1"/>
        <rFont val="Calibri"/>
        <family val="2"/>
        <scheme val="minor"/>
      </rPr>
      <t>: Shape ethical expectations and solutions.</t>
    </r>
  </si>
  <si>
    <r>
      <t>Ensure Inclusivity</t>
    </r>
    <r>
      <rPr>
        <sz val="11"/>
        <color theme="1"/>
        <rFont val="Calibri"/>
        <family val="2"/>
        <scheme val="minor"/>
      </rPr>
      <t>: Contextualize global values within local practices and sensitivities.</t>
    </r>
  </si>
  <si>
    <r>
      <t>Propose Actionable Steps</t>
    </r>
    <r>
      <rPr>
        <sz val="11"/>
        <color theme="1"/>
        <rFont val="Calibri"/>
        <family val="2"/>
        <scheme val="minor"/>
      </rPr>
      <t>: To address the dilemma, such as system modifications, policy changes, or procedural updates.</t>
    </r>
  </si>
  <si>
    <r>
      <t>Outline Oversight Structures and Metrics for Success</t>
    </r>
    <r>
      <rPr>
        <sz val="11"/>
        <color theme="1"/>
        <rFont val="Calibri"/>
        <family val="2"/>
        <scheme val="minor"/>
      </rPr>
      <t>: Ensure solutions are measurable and accountable.</t>
    </r>
  </si>
  <si>
    <r>
      <t>Highlight Behavioral and Regulatory Concepts</t>
    </r>
    <r>
      <rPr>
        <sz val="11"/>
        <color theme="1"/>
        <rFont val="Calibri"/>
        <family val="2"/>
        <scheme val="minor"/>
      </rPr>
      <t>: Support these mechanisms (e.g., ethics, norms, laws, rules).</t>
    </r>
  </si>
  <si>
    <r>
      <t>Define Ethical Outcomes</t>
    </r>
    <r>
      <rPr>
        <sz val="11"/>
        <color theme="1"/>
        <rFont val="Calibri"/>
        <family val="2"/>
        <scheme val="minor"/>
      </rPr>
      <t>: The solution aims to achieve, such as justice, equity, or transparency.</t>
    </r>
  </si>
  <si>
    <r>
      <t>Address Short-term Resolutions and Long-term Impacts</t>
    </r>
    <r>
      <rPr>
        <sz val="11"/>
        <color theme="1"/>
        <rFont val="Calibri"/>
        <family val="2"/>
        <scheme val="minor"/>
      </rPr>
      <t>.</t>
    </r>
  </si>
  <si>
    <r>
      <t>Emphasize Sustainability and Adaptability</t>
    </r>
    <r>
      <rPr>
        <sz val="11"/>
        <color theme="1"/>
        <rFont val="Calibri"/>
        <family val="2"/>
        <scheme val="minor"/>
      </rPr>
      <t>: To future challenges, ensuring alignment with foundational ethical principles.</t>
    </r>
  </si>
  <si>
    <r>
      <t>Provide a Comprehensive Solution</t>
    </r>
    <r>
      <rPr>
        <sz val="11"/>
        <color theme="1"/>
        <rFont val="Calibri"/>
        <family val="2"/>
        <scheme val="minor"/>
      </rPr>
      <t>: Integrates values across the taxonomy while balancing conflicting priorities.</t>
    </r>
  </si>
  <si>
    <r>
      <t>Refer to Core, Social, and Cultural Values</t>
    </r>
    <r>
      <rPr>
        <sz val="11"/>
        <color theme="1"/>
        <rFont val="Calibri"/>
        <family val="2"/>
        <scheme val="minor"/>
      </rPr>
      <t>: Explicitly using taxonomy categories (e.g., "Core Value Justice (Core Values)").</t>
    </r>
  </si>
  <si>
    <r>
      <t>Reference Personal Values</t>
    </r>
    <r>
      <rPr>
        <sz val="11"/>
        <color theme="1"/>
        <rFont val="Calibri"/>
        <family val="2"/>
        <scheme val="minor"/>
      </rPr>
      <t>: Without parenthetical repetition (e.g., "the Personal Value of Integrity").</t>
    </r>
  </si>
  <si>
    <r>
      <t>Articulate Alignment with Stakeholders' Ethical Needs</t>
    </r>
    <r>
      <rPr>
        <sz val="11"/>
        <color theme="1"/>
        <rFont val="Calibri"/>
        <family val="2"/>
        <scheme val="minor"/>
      </rPr>
      <t>: Reflect both immediate resolutions and long-term adaptability.</t>
    </r>
  </si>
  <si>
    <t>Integrated Framework for Taxonomy Evaluation</t>
  </si>
  <si>
    <t>Phase 1: Frequency and Weight Analysis</t>
  </si>
  <si>
    <r>
      <t>Purpose:</t>
    </r>
    <r>
      <rPr>
        <sz val="11"/>
        <color theme="1"/>
        <rFont val="Calibri"/>
        <family val="2"/>
        <scheme val="minor"/>
      </rPr>
      <t xml:space="preserve"> Quantify the explicit and implicit representation of values across sectors and frameworks.</t>
    </r>
  </si>
  <si>
    <t>Key Steps:</t>
  </si>
  <si>
    <t>1. Extract explicit and implicit mentions of values (e.g., trust, fairness, inclusivity) from both documents.</t>
  </si>
  <si>
    <t>2. Weight explicit mentions more heavily, reflecting direct prioritization in frameworks.</t>
  </si>
  <si>
    <t>3. Aggregate mentions by sector (e.g., Government, NGOs, Industry) and calculate weighted frequencies.</t>
  </si>
  <si>
    <r>
      <t>Output:</t>
    </r>
    <r>
      <rPr>
        <sz val="11"/>
        <color theme="1"/>
        <rFont val="Calibri"/>
        <family val="2"/>
        <scheme val="minor"/>
      </rPr>
      <t xml:space="preserve"> A ranked list of values by prominence and sectoral emphasis, indicating alignment with the taxonomy.</t>
    </r>
  </si>
  <si>
    <t>Phase 2: Cross-Sector Comparative Analysis</t>
  </si>
  <si>
    <r>
      <t>Purpose:</t>
    </r>
    <r>
      <rPr>
        <sz val="11"/>
        <color theme="1"/>
        <rFont val="Calibri"/>
        <family val="2"/>
        <scheme val="minor"/>
      </rPr>
      <t xml:space="preserve"> Identify patterns, gaps, and conflicts in how values are prioritized across sectors.</t>
    </r>
  </si>
  <si>
    <t>1. Use the results of the frequency analysis to create a sectoral heatmap of value emphasis.</t>
  </si>
  <si>
    <t>2. Highlight overlaps (e.g., trust in Industry and Government) and gaps (e.g., inclusivity in Industry).</t>
  </si>
  <si>
    <t>3. Identify sector-specific value conflicts, such as:</t>
  </si>
  <si>
    <t>Harmony vs. Autonomy</t>
  </si>
  <si>
    <t>Transparency vs. Cultural Sensitivity</t>
  </si>
  <si>
    <r>
      <t>Output:</t>
    </r>
    <r>
      <rPr>
        <sz val="11"/>
        <color theme="1"/>
        <rFont val="Calibri"/>
        <family val="2"/>
        <scheme val="minor"/>
      </rPr>
      <t xml:space="preserve"> A detailed sectoral comparison identifying shared priorities, gaps, and tensions.</t>
    </r>
  </si>
  <si>
    <t>Phase 3: Sentiment and Contextual Analysis</t>
  </si>
  <si>
    <r>
      <t>Purpose:</t>
    </r>
    <r>
      <rPr>
        <sz val="11"/>
        <color theme="1"/>
        <rFont val="Calibri"/>
        <family val="2"/>
        <scheme val="minor"/>
      </rPr>
      <t xml:space="preserve"> Understand the framing of values across contexts and their alignment with ethical principles.</t>
    </r>
  </si>
  <si>
    <t>1. Apply sentiment analysis to assess whether values (e.g., inclusivity, trust) are framed positively, negatively, or neutrally.</t>
  </si>
  <si>
    <t>2. Contextualize mentions of values in terms of themes (e.g., fairness in data usage vs. fairness in access).</t>
  </si>
  <si>
    <t>3. Align the contextual framing with the taxonomy’s definitions of core and emergent values.</t>
  </si>
  <si>
    <r>
      <t>Output:</t>
    </r>
    <r>
      <rPr>
        <sz val="11"/>
        <color theme="1"/>
        <rFont val="Calibri"/>
        <family val="2"/>
        <scheme val="minor"/>
      </rPr>
      <t xml:space="preserve"> A narrative understanding of how values are discussed and perceived across frameworks and sectors.</t>
    </r>
  </si>
  <si>
    <t>Phase 4: Statistical Correlation and Clustering</t>
  </si>
  <si>
    <r>
      <t>Purpose:</t>
    </r>
    <r>
      <rPr>
        <sz val="11"/>
        <color theme="1"/>
        <rFont val="Calibri"/>
        <family val="2"/>
        <scheme val="minor"/>
      </rPr>
      <t xml:space="preserve"> Explore relationships between values and identify clusters of interrelated concepts.</t>
    </r>
  </si>
  <si>
    <t>1. Perform correlation analysis to determine statistical relationships between values.</t>
  </si>
  <si>
    <t>Example: Does inclusivity correlate with transparency across sectors?</t>
  </si>
  <si>
    <t>2. Use clustering algorithms to group related values based on co-occurrence or shared context.</t>
  </si>
  <si>
    <t>Example: Grouping inclusivity, fairness, and equity as “Social Justice Values.”</t>
  </si>
  <si>
    <r>
      <t>Output:</t>
    </r>
    <r>
      <rPr>
        <sz val="11"/>
        <color theme="1"/>
        <rFont val="Calibri"/>
        <family val="2"/>
        <scheme val="minor"/>
      </rPr>
      <t xml:space="preserve"> Data-driven insights into value interdependencies, revealing clusters for potential taxonomy refinement.</t>
    </r>
  </si>
  <si>
    <t>Phase 5: Operational Validation and Impact Modeling</t>
  </si>
  <si>
    <r>
      <t>Purpose:</t>
    </r>
    <r>
      <rPr>
        <sz val="11"/>
        <color theme="1"/>
        <rFont val="Calibri"/>
        <family val="2"/>
        <scheme val="minor"/>
      </rPr>
      <t xml:space="preserve"> Test the practical application of the refined taxonomy in real-world scenarios.</t>
    </r>
  </si>
  <si>
    <t>1. Validate the taxonomy’s alignment with existing frameworks through case studies (e.g., AI in healthcare, autonomous vehicles).</t>
  </si>
  <si>
    <t>2. Simulate decision-making scenarios to assess how well the taxonomy handles ethical dilemmas or value conflicts.</t>
  </si>
  <si>
    <t>Example: Balancing transparency with cultural sensitivity in cross-border AI applications.</t>
  </si>
  <si>
    <t>3. Define Key Performance Indicators (KPIs) for operationalizing each value.</t>
  </si>
  <si>
    <r>
      <t>Output:</t>
    </r>
    <r>
      <rPr>
        <sz val="11"/>
        <color theme="1"/>
        <rFont val="Calibri"/>
        <family val="2"/>
        <scheme val="minor"/>
      </rPr>
      <t xml:space="preserve"> An evaluation of the taxonomy’s robustness and adaptability, along with specific recommendations for improvement.</t>
    </r>
  </si>
  <si>
    <t>Phase 6: Robust Validation of Conclusions</t>
  </si>
  <si>
    <r>
      <t>Purpose:</t>
    </r>
    <r>
      <rPr>
        <sz val="11"/>
        <color theme="1"/>
        <rFont val="Calibri"/>
        <family val="2"/>
        <scheme val="minor"/>
      </rPr>
      <t xml:space="preserve"> Ensure the reliability and completeness of findings and refine the taxonomy accordingly.</t>
    </r>
  </si>
  <si>
    <t>1. Validate conclusions through:</t>
  </si>
  <si>
    <t>Sampling review: Ensure equal representation across sectors and frameworks.</t>
  </si>
  <si>
    <t>Expert feedback: Collaborate with stakeholders to test alignment and relevance.</t>
  </si>
  <si>
    <t>2. Revise the taxonomy based on gaps, conflicts, and emergent insights.</t>
  </si>
  <si>
    <r>
      <t>Output:</t>
    </r>
    <r>
      <rPr>
        <sz val="11"/>
        <color theme="1"/>
        <rFont val="Calibri"/>
        <family val="2"/>
        <scheme val="minor"/>
      </rPr>
      <t xml:space="preserve"> A refined, empirically validated taxonomy ready for application across AI ethics frameworks.</t>
    </r>
  </si>
  <si>
    <t>Key Features of the Synthesized Plan</t>
  </si>
  <si>
    <r>
      <t>1. Iterative Refinement:</t>
    </r>
    <r>
      <rPr>
        <sz val="11"/>
        <color theme="1"/>
        <rFont val="Calibri"/>
        <family val="2"/>
        <scheme val="minor"/>
      </rPr>
      <t xml:space="preserve"> Each phase informs the next, enabling iterative improvements to the taxonomy.</t>
    </r>
  </si>
  <si>
    <r>
      <t>2. Multi-Method Approach:</t>
    </r>
    <r>
      <rPr>
        <sz val="11"/>
        <color theme="1"/>
        <rFont val="Calibri"/>
        <family val="2"/>
        <scheme val="minor"/>
      </rPr>
      <t xml:space="preserve"> Combines qualitative (contextual and sentiment analysis) and quantitative (frequency, clustering, correlation) methods for comprehensive insights.</t>
    </r>
  </si>
  <si>
    <r>
      <t>3. Practical Application:</t>
    </r>
    <r>
      <rPr>
        <sz val="11"/>
        <color theme="1"/>
        <rFont val="Calibri"/>
        <family val="2"/>
        <scheme val="minor"/>
      </rPr>
      <t xml:space="preserve"> Integrates operationalization and validation phases to ensure the taxonomy’s usability in real-world contexts.</t>
    </r>
  </si>
  <si>
    <r>
      <t>4. Global Perspective:</t>
    </r>
    <r>
      <rPr>
        <sz val="11"/>
        <color theme="1"/>
        <rFont val="Calibri"/>
        <family val="2"/>
        <scheme val="minor"/>
      </rPr>
      <t xml:space="preserve"> Considers cross-sectoral and cultural variations to enhance adaptability and inclusivity.</t>
    </r>
  </si>
  <si>
    <t>This integrated framework synthesizes your original analytical plan with the structured refinement steps, ensuring both depth and operational relevance. Would you like to start with a specific phase, or should we design tools for one of these steps?</t>
  </si>
  <si>
    <t>Sustainability ensures that AI actions and systems contribute to the preservation of environmental resources, responsible innovation, and economic stability while safeguarding the ability of future generations to meet their needs. It emphasizes creating solutions that balance technological progress with ethical responsibility, addressing global challenges such as ecological impact, resource scarcity, and systemic resilience.
AI Ethics Implication:
AI systems must prioritize sustainability through energy-efficient designs, resource optimization, and solutions that address long-term societal needs. This includes minimizing ecological harm and ensuring AI applications align with global goals, such as supporting sustainable development and responsible innovation.
Cultural Considerations:
Sustainability is emphasized differently across cultural contexts. European frameworks often prioritize ecological preservation and energy efficiency, reflecting a long-standing commitment to environmental stewardship. In contrast, developing economies may place greater emphasis on technological growth and accessibility, requiring strategies to balance immediate economic needs with sustainable practices.</t>
  </si>
  <si>
    <t>Fairness emphasizes impartiality in decisions and actions, ensuring that individuals and groups are treated equitably in accordance with their circumstances and contributions. It is a foundational principle that seeks to mitigate bias and uphold justice, allowing for the equitable distribution of opportunities, resources, and outcomes across diverse contexts. Fairness acknowledges that equality does not always mean treating everyone the same but instead recognizes the importance of addressing structural inequities and contextual factors to achieve balanced and just outcomes.
AI Ethics Implications:
Fairness in AI systems requires mechanisms to identify, mitigate, and prevent biases that could lead to discriminatory or unjust outcomes. This includes the design of algorithms that ensure equitable treatment in critical applications, such as hiring, lending, healthcare, and predictive analytics. Fairness also demands transparency in decision-making criteria and the inclusion of diverse perspectives in AI development, ensuring that systems reflect the ethical and social complexities of the environments they impact.
Key approaches include:
Bias detection and correction strategies to address disparities in algorithmic decision-making.
The establishment of equitable resource allocation protocols in AI systems, ensuring no group is disproportionately advantaged or disadvantaged.
Accountability mechanisms to review and audit fairness in outcomes, providing clarity and trust in the system’s operations.
Cultural Differences:
Fairness is interpreted differently across cultural contexts, influenced by societal norms, historical experiences, and governance structures. In individualist societies, such as the United States and Western Europe, fairness often emphasizes meritocracy, focusing on providing opportunities based on personal achievement or contribution. In contrast, collectivist cultures, such as those in East Asia or parts of Africa, may prioritize distributive fairness, emphasizing the equitable distribution of resources and opportunities to maintain communal harmony and balance.
For example:
In a meritocratic context, fairness may involve ranking candidates for a job based purely on qualifications and performance.
In a communal context, fairness might entail adjusting opportunities to ensure that marginalized groups receive additional support, fostering inclusivity and social cohesion.
These variations highlight the need for culturally adaptive implementations of fairness in AI systems, ensuring that ethical principles resonate with the societal values and priorities of the communities they serve. Balancing global consistency with localized sensitivity is critical for achieving fairness in AI applications across diverse environments.</t>
  </si>
  <si>
    <t>Transparency embodies openness, clarity, and accessibility in the processes, decisions, and actions of AI systems. It ensures that stakeholders can understand and evaluate how systems operate, fostering accountability and trust. Transparency goes beyond simply providing information; it requires that information is communicated in ways that are meaningful and actionable for diverse audiences.
AI Ethics Implications:
In the context of AI, transparency is essential to address the "black box" nature of algorithmic systems. It ensures that stakeholders, including users, developers, and regulators, can scrutinize decisions, evaluate potential risks, and hold systems accountable.
Key strategies include:
Embedding explainability into AI design, enabling clear insights into how algorithms reach decisions.
Providing accessible documentation that outlines system limitations, data sources, and decision-making criteria.
Ensuring traceability through robust audit mechanisms that link decisions to specific inputs and processes.
Transparency also plays a critical role in preventing unethical practices, such as data manipulation or hidden biases, by creating mechanisms for evaluation and oversight.
Cultural Differences:
Transparency is highly context-dependent, with significant cultural nuances influencing how openness is perceived and practiced. In low-context cultures, such as the United States and Germany, transparency often involves explicit and detailed disclosures, reflecting a preference for directness and individual accountability. In high-context cultures, such as Japan and China, transparency may prioritize relational trust and implicit understanding, where full disclosure might be seen as unnecessary or even counterproductive to maintaining harmony.
These differences have implications for both policy decision-making and security strategies:
Policy Decisions: Global AI frameworks must adapt transparency practices to align with cultural expectations. For example, a one-size-fits-all approach to disclosure could conflict with relational norms in high-context societies, undermining trust.
Hacking and Security Risks: Variations in transparency practices may create vulnerabilities. Systems designed for explicit disclosure could inadvertently expose sensitive information in high-context environments, while minimal disclosure practices might obscure critical details necessary for security audits.
To address these challenges, culturally adaptive transparency mechanisms are essential. For instance:
High-context societies might benefit from trust-building protocols that combine relational communication with selective transparency tailored to stakeholders' needs.
Low-context societies require comprehensive, standardized documentation to ensure consistency and accountability.
By aligning transparency practices with cultural norms, AI systems can foster trust, improve security, and ensure alignment with diverse stakeholder expectations.</t>
  </si>
  <si>
    <t>Non-Maleficence emphasizes the obligation to avoid causing harm, particularly to vulnerable populations and individuals. It serves as a guiding principle for ethical decision-making, focusing on harm prevention as a proactive responsibility. Non-Maleficence not only addresses direct and immediate risks but also provides a foundation for minimizing unintended or systemic consequences that may arise from the deployment of AI technologies.
AI Ethics Implications:
In AI systems, Non-Maleficence requires rigorous safeguards to ensure that technologies do not cause harm, either directly through their design or indirectly through their application. This includes the identification and mitigation of risks at every stage of the AI lifecycle, from development to deployment.
Key responsibilities include:
Rigorous testing and validation to prevent errors or failures in AI systems that could lead to harm.
Implementation of ethical oversight mechanisms to address risks related to bias, misuse, or unintended outcomes.
Monitoring and updating AI systems to ensure ongoing alignment with ethical standards and evolving societal needs.
Non-Maleficence is particularly critical in high-stakes domains such as healthcare, autonomous vehicles, and criminal justice, where AI systems directly impact human lives and safety.
Cultural Differences:
The emphasis on harm prevention varies across cultural contexts, influenced by differing societal priorities and governance structures. In Western societies, Non-Maleficence often aligns with individual rights and safety, emphasizing the prevention of harm to specific individuals. In contrast, many Eastern or collectivist cultures prioritize the minimization of harm to the collective, focusing on maintaining societal harmony and balance.
For example:
In individualistic cultures, AI design might prioritize features that ensure personal safety, such as autonomous vehicle algorithms that avoid risks to pedestrians and passengers alike.
In collectivist cultures, Non-Maleficence may extend to preventing disruptions to social cohesion, such as avoiding biases that disproportionately affect certain communities.
These cultural nuances highlight the need for adaptive approaches to harm prevention, ensuring that Non-Maleficence remains relevant and effective across diverse societal contexts.
Linking Systemic Concerns to Other Values:
While Non-Maleficence focuses on immediate harm prevention, its broader implications intersect with other Core Values:
Fairness: Ensures that harm prevention strategies address systemic biases and inequities.
Example: Bias audits to prevent unfair outcomes in hiring or resource allocation systems.
Sustainability: Extends harm prevention to include long-term ecological and societal impacts.
Example: Minimizing environmental harm caused by energy-intensive AI applications aligns with sustainable practices.
Accountability: Reinforces Non-Maleficence through mechanisms for ethical oversight and responsibility.
Example: Embedding audit trails to track and address potential harm caused by AI systems.
By linking Non-Maleficence to these systemic concerns, its scope is expanded to address both immediate risks and long-term impacts, ensuring a cohesive and comprehensive ethical framework for AI systems.</t>
  </si>
  <si>
    <t>Autonomy safeguards individuals' ability to make informed and independent decisions, ensuring control over interactions with AI systems. It emphasizes self-determination and agency while balancing the benefits of automation with the rights of users to govern their own data, decisions, and lives.
AI Ethics Implications:
Autonomy requires AI systems to prioritize user agency through informed consent, customizability, and safeguards against manipulation. Users must have access to clear, accessible information about data usage and decision-making processes, allowing them to actively choose their engagement. Systems should include customizable settings that empower individuals to adjust preferences and override automated decisions when necessary. Autonomy also demands that AI avoids manipulative practices, such as biased nudging, ensuring that users are not subtly coerced into actions misaligned with their values.
Accountable automation is critical to autonomy, ensuring mechanisms for human oversight, appeals, and interventions in automated decision-making. Contextually adaptive autonomy further ensures that systems respect societal and cultural norms, balancing individual control with collective goals when appropriate.
Cultural Differences:
In individualistic societies, such as the United States and Western Europe, autonomy is closely tied to personal freedom and individual rights, emphasizing informed consent and direct user control. Conversely, in collectivist cultures like Japan and China, autonomy often integrates relational or communal priorities, reflecting a balance between individual agency and societal harmony. These variations necessitate culturally adaptive AI systems to uphold autonomy while respecting diverse societal values.
Comparison to Other Core Values:
Autonomy is deeply interwoven with other Core Values, as it ensures the preservation of individual agency within frameworks that also prioritize fairness, accountability, and transparency. For example, transparency enables informed consent by providing the clarity needed to exercise autonomy effectively. Accountability reinforces autonomy by ensuring systems respect user choices and provide mechanisms for redress when autonomy is compromised. Fairness intersects with autonomy by ensuring equitable access to decision-making opportunities, preventing systemic biases that might undermine individual control. Together, these values create a cohesive ethical foundation that upholds human dignity while balancing individual and collective priorities in the deployment of AI systems.</t>
  </si>
  <si>
    <t>AI Values: trust, fairness, transparency, accountability, and non-maleficence</t>
  </si>
  <si>
    <t>Criminal Behavior</t>
  </si>
  <si>
    <t>CONCEPTUAL FRAMEWORK</t>
  </si>
  <si>
    <t>Normative, Regulatory, Behavioral and Conceptual Framework (NBRCs)</t>
  </si>
  <si>
    <t>The Normative, Regulatory, Behavioral and Conceptual (NBRCs) framework provides a structure for understanding the principles, systems, and actions that guide ethical decision-making. Divided into four interconnected domains:
Normative Concepts establish ethical foundations, including rights, values, and principles, which define what is morally desirable and aspirational in decision-making and behavior.
Regulatory Concepts translate these ideals into enforceable rules, such as laws, standards, and compliance mechanisms, ensuring order, fairness, and accountability within societal systems.
Behavioral Concepts focus on ethics in practice, addressing how individuals and communities align their actions with societal norms, cultural expectations, and moral standards.
Each domain is further classified into Foundational Concepts (universal principles), Operational Concepts (immediate, actionable guidelines), and Contextual and Evaluative Concepts (adaptive to specific situations). This classification ensures flexibility and coherence, bridging ideal principles with practical applications.
For example, rights (Normative, Foundational) provide universal ethical benchmarks, while laws (Regulatory, Operational) enforce these principles. Meanwhile, ethics (Behavioral, Contextual) facilitate their application to real-world interactions. Together, these interconnected domains balance idealism with pragmatism, ensuring ethical alignment in diverse scenarios.</t>
  </si>
  <si>
    <t>Marvin Minsky's Framework</t>
  </si>
  <si>
    <t>Marvin Minsky, a pioneer in the field of artificial intelligence, proposed a framework for understanding AI that can be seen as a hierarchy of different levels of intelligence. While Minsky's work is extensive and covers various aspects of AI, one of his notable contributions is the concept of "The Society of Mind," which describes how intelligence arises from the interactions of non-intelligent agents.</t>
  </si>
  <si>
    <t>Agents</t>
  </si>
  <si>
    <t>At the base level, Minsky proposed that intelligence is composed of numerous simple agents, each responsible for specific tasks. These agents are not intelligent on their own but work together to create intelligent behavior.</t>
  </si>
  <si>
    <t>K-lines</t>
  </si>
  <si>
    <t>Knowledge lines (K-lines) are structures that connect different agents. When a particular task is performed successfully, the K-lines are activated, linking the agents involved in that task. This helps in recalling and reusing successful strategies.</t>
  </si>
  <si>
    <t>Frames</t>
  </si>
  <si>
    <t>Frames are data structures that represent stereotypical situations. They provide a way to organize knowledge and expectations about the world. Frames help in understanding and interpreting new information by relating it to known contexts</t>
  </si>
  <si>
    <t>Scripts</t>
  </si>
  <si>
    <t>Scripts are sequences of actions or events that describe typical scenarios. They help in predicting and planning actions based on past experiences. Scripts are useful for understanding and generating behavior in familiar situations</t>
  </si>
  <si>
    <t>Pansystems</t>
  </si>
  <si>
    <t>Pansystems are higher-level structures that coordinate the activities of multiple agents and frames. They help in managing complex tasks by integrating various components of the system.</t>
  </si>
  <si>
    <t>Self-reflection</t>
  </si>
  <si>
    <t>At the top level, Minsky emphasized the importance of self-reflection and meta-cognition. This involves the system's ability to monitor and evaluate its own performance, make adjustments, and learn from experiences</t>
  </si>
  <si>
    <t>COMPLETE</t>
  </si>
  <si>
    <t>IN PROCESS</t>
  </si>
  <si>
    <t>New Directions in Digital Ethics</t>
  </si>
  <si>
    <t>Connectivity</t>
  </si>
  <si>
    <t>Flow</t>
  </si>
  <si>
    <t>Participation</t>
  </si>
  <si>
    <t>Authenticity</t>
  </si>
  <si>
    <t>Foundational Elements</t>
  </si>
  <si>
    <t>Operational Elements</t>
  </si>
  <si>
    <t>Contextual and Evaluative Elements</t>
  </si>
  <si>
    <t>Operational elements translate foundational principles into actionable and enforceable forms to ensure functionality within specific contexts.</t>
  </si>
  <si>
    <t>Cultural Values - Identity focused</t>
  </si>
  <si>
    <t>Operational Cultural Values</t>
  </si>
  <si>
    <r>
      <t xml:space="preserve">Core Values
</t>
    </r>
    <r>
      <rPr>
        <sz val="11"/>
        <color theme="1"/>
        <rFont val="Calibri"/>
        <family val="2"/>
        <scheme val="minor"/>
      </rPr>
      <t>This category serves as the ethical cornerstone of human behavior, forming the foundation for decision-making, governance, and interpersonal relationships. Integral to developing an AI Moral code, these values are supported by justice, compassion, integrity, and human dignity as universal and contextually adaptable guideposts.</t>
    </r>
  </si>
  <si>
    <t>Contextual Ideals</t>
  </si>
  <si>
    <t>FRAMEWORK</t>
  </si>
  <si>
    <t>Sub category</t>
  </si>
  <si>
    <t>Values</t>
  </si>
  <si>
    <t>Normative</t>
  </si>
  <si>
    <t>Cultural Alignment</t>
  </si>
  <si>
    <t>Regulatory</t>
  </si>
  <si>
    <t>Behavioral</t>
  </si>
  <si>
    <t>Conceptual</t>
  </si>
  <si>
    <t>Directives</t>
  </si>
  <si>
    <t>Core Values</t>
  </si>
  <si>
    <t>Relational Social Values (Interpersonal</t>
  </si>
  <si>
    <t>Cultural Values (Identity focused)</t>
  </si>
  <si>
    <t>Relationtional Social Values (Interpersonal)</t>
  </si>
  <si>
    <t>Spiritualy/Religion</t>
  </si>
  <si>
    <t>AI Values</t>
  </si>
  <si>
    <t>Core Chosen</t>
  </si>
  <si>
    <t>Non-malfecience</t>
  </si>
  <si>
    <t>Core</t>
  </si>
  <si>
    <t>Digital Ethics (Emerging)</t>
  </si>
  <si>
    <t>OECD AI Principles</t>
  </si>
  <si>
    <t>Singapore Model AI Governance Framework</t>
  </si>
  <si>
    <t>UNESCO’s Recommendation on the Ethics of AI</t>
  </si>
  <si>
    <t>G20 AI Principles</t>
  </si>
  <si>
    <t>Russia’s AI Strategy 2030</t>
  </si>
  <si>
    <t>UAE’s National AI Strategy 2031</t>
  </si>
  <si>
    <t>Microsoft’s Responsible AI Principles</t>
  </si>
  <si>
    <t>OpenAI’s Charter</t>
  </si>
  <si>
    <t>Intel’s Responsible AI Principles</t>
  </si>
  <si>
    <t>Salesforce’s Ethical Use of Technology</t>
  </si>
  <si>
    <t>Twitter’s Machine Learning Ethics, Transparency, and Accountability (META) Team</t>
  </si>
  <si>
    <t>Adobe’s AI Ethics Principles</t>
  </si>
  <si>
    <t>Tesla’s AI Safety and Transparency Policies</t>
  </si>
  <si>
    <t>Stanford University</t>
  </si>
  <si>
    <t>National University of Singapore (NUS)</t>
  </si>
  <si>
    <t>University of Sydney</t>
  </si>
  <si>
    <t>University of Toronto</t>
  </si>
  <si>
    <t>University of Montreal</t>
  </si>
  <si>
    <t>University of Oxford</t>
  </si>
  <si>
    <t>Future of Life Institute</t>
  </si>
  <si>
    <t>Jewish Ethics in AI (Shalom Center)</t>
  </si>
  <si>
    <t>Focuses on transparency, accountability, and inclusion, aligning AI with human dignity and ethical principles.</t>
  </si>
  <si>
    <t>Draws from Islamic philosophy to emphasize fairness, societal benefit, and the prevention of harm in AI systems.</t>
  </si>
  <si>
    <t>Discusses equity, fairness, and justice, rooted in Jewish ethical traditions and responsibilities.</t>
  </si>
  <si>
    <t>Advocates for fairness, transparency, and human dignity, emphasizing the relational aspect of technology.</t>
  </si>
  <si>
    <r>
      <t xml:space="preserve">Emerging positions focus on harmony, interconnectedness, and the minimization of harm, inspired by principles like </t>
    </r>
    <r>
      <rPr>
        <i/>
        <sz val="11"/>
        <color theme="1"/>
        <rFont val="Calibri"/>
        <family val="2"/>
        <scheme val="minor"/>
      </rPr>
      <t>Ahimsa</t>
    </r>
    <r>
      <rPr>
        <sz val="11"/>
        <color theme="1"/>
        <rFont val="Calibri"/>
        <family val="2"/>
        <scheme val="minor"/>
      </rPr>
      <t xml:space="preserve"> (non-violence) and </t>
    </r>
    <r>
      <rPr>
        <i/>
        <sz val="11"/>
        <color theme="1"/>
        <rFont val="Calibri"/>
        <family val="2"/>
        <scheme val="minor"/>
      </rPr>
      <t>Dharma</t>
    </r>
    <r>
      <rPr>
        <sz val="11"/>
        <color theme="1"/>
        <rFont val="Calibri"/>
        <family val="2"/>
        <scheme val="minor"/>
      </rPr>
      <t xml:space="preserve"> (moral duty).</t>
    </r>
  </si>
  <si>
    <r>
      <t>Discussions center on compassion, mindfulness, and the reduction of suffering, applying ethical mindfulness (</t>
    </r>
    <r>
      <rPr>
        <i/>
        <sz val="11"/>
        <color theme="1"/>
        <rFont val="Calibri"/>
        <family val="2"/>
        <scheme val="minor"/>
      </rPr>
      <t>Sila</t>
    </r>
    <r>
      <rPr>
        <sz val="11"/>
        <color theme="1"/>
        <rFont val="Calibri"/>
        <family val="2"/>
        <scheme val="minor"/>
      </rPr>
      <t>) to AI design and governance.</t>
    </r>
  </si>
  <si>
    <t>Emphasizes harmony, relational ethics, and respect for hierarchical structures, aligning AI with collective well-being and societal harmony.</t>
  </si>
  <si>
    <t>Sikh Contributions to AI Ethics</t>
  </si>
  <si>
    <r>
      <t>Emphasizes service (</t>
    </r>
    <r>
      <rPr>
        <i/>
        <sz val="11"/>
        <color theme="1"/>
        <rFont val="Calibri"/>
        <family val="2"/>
        <scheme val="minor"/>
      </rPr>
      <t>Seva</t>
    </r>
    <r>
      <rPr>
        <sz val="11"/>
        <color theme="1"/>
        <rFont val="Calibri"/>
        <family val="2"/>
        <scheme val="minor"/>
      </rPr>
      <t>), equality, and justice, advocating for AI to be a tool for inclusivity and societal upliftment.</t>
    </r>
  </si>
  <si>
    <t>Focus on respect for nature, interconnectedness, and sustainability, aligning AI development with ecological balance and collective well-being.</t>
  </si>
  <si>
    <t>OpenAI's charter details its mission to ensure that artificial general intelligence benefits all of humanity, highlighting principles of safety and long-term focus.</t>
  </si>
  <si>
    <t>Industy</t>
  </si>
  <si>
    <t>Indian Institute of Science (IISc) Bangalore</t>
  </si>
  <si>
    <t>Peking University</t>
  </si>
  <si>
    <t>Shanghai Jiao Tong University</t>
  </si>
  <si>
    <t>Asilomar AI Principles</t>
  </si>
  <si>
    <t>https://www.microsoft.com/en-us/ai/responsible-ai</t>
  </si>
  <si>
    <t>https://partnershiponai.org/tenets/</t>
  </si>
  <si>
    <t>https://romecall.org/</t>
  </si>
  <si>
    <t>Sector</t>
  </si>
  <si>
    <t>URL</t>
  </si>
  <si>
    <t>Focus Area</t>
  </si>
  <si>
    <t>Google AI Principles</t>
  </si>
  <si>
    <t>Google</t>
  </si>
  <si>
    <t>Microsoft</t>
  </si>
  <si>
    <t>Tesla</t>
  </si>
  <si>
    <t>UNESCO</t>
  </si>
  <si>
    <t>Africa</t>
  </si>
  <si>
    <t>Japan</t>
  </si>
  <si>
    <t>China</t>
  </si>
  <si>
    <t>AI Ethics and Governance Program</t>
  </si>
  <si>
    <t>Accountability, governances and fairness in AI Systems</t>
  </si>
  <si>
    <t>Sustainability, accountability, human centered design</t>
  </si>
  <si>
    <t>Human rights and accountability</t>
  </si>
  <si>
    <t>Cultural diversity, fairness, and ethical AI development</t>
  </si>
  <si>
    <t>Focuses on the societal implications of AI, including fairness, inclusivity, and regulatory strategies.</t>
  </si>
  <si>
    <t>Studies in data privacy, transparency, and cultural implications of AI systems.</t>
  </si>
  <si>
    <t>Research on AI governance, global cooperation, and ethical guidelines aligned with China’s New Generation AI Development Plan.</t>
  </si>
  <si>
    <t>Montreal Declaration for Responsible AI</t>
  </si>
  <si>
    <t>Research on global coordination, safety, and fairness</t>
  </si>
  <si>
    <t>Research on inclusivity, safety, and regulatory alignment</t>
  </si>
  <si>
    <t>Department of Defense</t>
  </si>
  <si>
    <t>AI Alignment Newsletter</t>
  </si>
  <si>
    <t>Website</t>
  </si>
  <si>
    <t>AI Safety Fundamentals</t>
  </si>
  <si>
    <t>https://rohinshah.com/alignment-newsletter/</t>
  </si>
  <si>
    <t>https://aisafetyfundamentals.com/</t>
  </si>
  <si>
    <t>AI Alignment Forum</t>
  </si>
  <si>
    <t>https://www.alignmentforum.org</t>
  </si>
  <si>
    <t>Amodei, D., Olah, C., Steinhardt, J., Christiano, P., Schulman, J., Mané, D. (2016):Concrete problems in AI safety. arXiv preprint arXiv: 1606.06565</t>
  </si>
  <si>
    <t>Anthropic: Claude’s Constitution</t>
  </si>
  <si>
    <t>https://www.anthropic.com/news/claudes-constitution</t>
  </si>
  <si>
    <t xml:space="preserve">Bellinger, Krieger proposed a new direction for digial ethics assuming a new form of social order, a global network society, that breaks with and transforms the values and traditions of modern Western industry society (from their abstract). Digital ethics is not to be considered an "applied" ethics which simply takes over the normative assumptions of Western modernity and applies them to new technologies. Although all agree that the disruption caused by new technologies is unprecedented, none of the current treatists on digital ethics and the many guideliens for ethical or good AI, robotics, etc. question the values of Western modernity or seek new ethical principles. Base on a theory of information and the idea of networked social order, we propose new fundamental values From these values of a global network soceity, we derive governance principles: taking account of producing stakeholders, prioritizing, institutin, excluding, localizing and globalizing, and seaparating powers. WHen we speak of digital ethics, we are addressing the normative foundations of the global network society and the calling for a revolution in ethics comparable to the revolution in science and technology ushered in by the digital transformation.
</t>
  </si>
  <si>
    <t xml:space="preserve">Human-Centric AI Principles. Based on Social Principles of Human-Centric AI. </t>
  </si>
  <si>
    <t>Harnessing AI's Benefits. Building AI Capabilities: Minimizing Risks, Stimulating Investment, Fostering Cooperation</t>
  </si>
  <si>
    <t>Department of Industry Innovation and Science</t>
  </si>
  <si>
    <t>Australia</t>
  </si>
  <si>
    <t>Université de Montréal</t>
  </si>
  <si>
    <t>Canada</t>
  </si>
  <si>
    <t>Work in the Age of Artificial Intelligence. Four Perspectives on the Economy, Employment, Skills and Ethics</t>
  </si>
  <si>
    <t>Ministry of Economic Affairs and Employment</t>
  </si>
  <si>
    <t>Finland</t>
  </si>
  <si>
    <t>Tieto’s AI Ethics Guidelines</t>
  </si>
  <si>
    <t>Tieto</t>
  </si>
  <si>
    <t>Commitments and Principles</t>
  </si>
  <si>
    <t>OP Group</t>
  </si>
  <si>
    <t>How Can Humans Keep the Upper Hand? Report on the Ethical Matters Raised by AI Algorithms</t>
  </si>
  <si>
    <t>French Data Protection Authority (CNIL)</t>
  </si>
  <si>
    <t>France</t>
  </si>
  <si>
    <t>For a Meaningful Artificial Intelligence. Towards a French and European Strategy</t>
  </si>
  <si>
    <t>Ethique de la Recherche en Robotique</t>
  </si>
  <si>
    <t>CERNA (Allistene)</t>
  </si>
  <si>
    <t>AI Guidelines</t>
  </si>
  <si>
    <t>Deutsche Telekom</t>
  </si>
  <si>
    <t>Germany</t>
  </si>
  <si>
    <t>SAP’s Guiding Principles for Artificial Intelligence</t>
  </si>
  <si>
    <t>SAP</t>
  </si>
  <si>
    <t>Ethics Policy</t>
  </si>
  <si>
    <t>Iceland</t>
  </si>
  <si>
    <t>Discussion Paper: National Strategy for Artificial Intelligence</t>
  </si>
  <si>
    <t>National Institution for Transforming India (NITI Aayog)</t>
  </si>
  <si>
    <t>India</t>
  </si>
  <si>
    <t>Agenzia per l’Italia Digitale (AGID)</t>
  </si>
  <si>
    <t>Italy</t>
  </si>
  <si>
    <t>Japanese Society for Artificial Intelligence</t>
  </si>
  <si>
    <t>Advisory Board on Artificial Intelligence and Human Society (initiative of the Minister of State for Science and Technology Policy)</t>
  </si>
  <si>
    <t>Draft AI R&amp;D Guidelines for International Discussions</t>
  </si>
  <si>
    <t>Institute for Information and Communications Policy (IICP), The Conference toward AI Network Society</t>
  </si>
  <si>
    <t>Sony Group AI Ethics Guidelines</t>
  </si>
  <si>
    <t>Sony</t>
  </si>
  <si>
    <t>Human Rights in the Robot Age Report</t>
  </si>
  <si>
    <t>The Rathenau Institute</t>
  </si>
  <si>
    <t>Netherlands</t>
  </si>
  <si>
    <t>Dutch Artificial Intelligence Manifesto</t>
  </si>
  <si>
    <t>Norway</t>
  </si>
  <si>
    <t>Discussion Paper on Artificial Intelligence (AI) and Personal Data—Fostering Responsible Development and Adoption of AI</t>
  </si>
  <si>
    <t>Personal Data Protection Commission Singapore</t>
  </si>
  <si>
    <t>Singapore</t>
  </si>
  <si>
    <t>Mid- to Long-Term Master Plan in Preparation for the Intelligent Information Society</t>
  </si>
  <si>
    <t>Government of the Republic of Korea</t>
  </si>
  <si>
    <t>South Korea</t>
  </si>
  <si>
    <t>AI Principles of Telefónica</t>
  </si>
  <si>
    <t>Telefónica</t>
  </si>
  <si>
    <t>Spain</t>
  </si>
  <si>
    <t>AI Principles &amp; Ethics</t>
  </si>
  <si>
    <t>Smart Dubai</t>
  </si>
  <si>
    <t>UAE</t>
  </si>
  <si>
    <t>Engineering and Physical Sciences Research Council UK (EPSRC)</t>
  </si>
  <si>
    <t>UK</t>
  </si>
  <si>
    <t>Sage</t>
  </si>
  <si>
    <t>Big Data, Artificial Intelligence, Machine Learning and Data Protection</t>
  </si>
  <si>
    <t>Business Ethics and Artificial Intelligence</t>
  </si>
  <si>
    <t>Institute of Business Ethics</t>
  </si>
  <si>
    <t>AI in the UK: Ready, Willing and Able?</t>
  </si>
  <si>
    <t>Artificial Intelligence (AI) in Health</t>
  </si>
  <si>
    <t>Royal College of Physicians</t>
  </si>
  <si>
    <t>Initial Code of Conduct for Data-Driven Health and Care Technology</t>
  </si>
  <si>
    <t>UK Department of Health &amp; Social Care</t>
  </si>
  <si>
    <t>PricewaterhouseCoopers UK</t>
  </si>
  <si>
    <t>Responsible AI and Robotics. An Ethical Framework.</t>
  </si>
  <si>
    <t>Accenture UK</t>
  </si>
  <si>
    <t>Machine Learning: The Power and Promise of Computers that Learn by Example</t>
  </si>
  <si>
    <t>The Royal Society</t>
  </si>
  <si>
    <t>Ethical, Social, and Political Challenges of Artificial Intelligence in Health</t>
  </si>
  <si>
    <t>Future Advocacy</t>
  </si>
  <si>
    <t>Number of documents</t>
  </si>
  <si>
    <t>Included codes</t>
  </si>
  <si>
    <t>73/84</t>
  </si>
  <si>
    <t>Transparency, explainability, explicability, understandability, interpretability, communication, disclosure, showing</t>
  </si>
  <si>
    <t>Justice and fairness</t>
  </si>
  <si>
    <t>68/84</t>
  </si>
  <si>
    <t>Justice, fairness, consistency, inclusion, equality, equity, (non-)bias, (non-)discrimination, diversity, plurality, accessibility, reversibility, remedy, redress, challenge, access and distribution</t>
  </si>
  <si>
    <t>60/84</t>
  </si>
  <si>
    <t>Non-maleficence, security, safety, harm, protection, precaution, prevention, integrity (bodily or mental), non-subversion</t>
  </si>
  <si>
    <t>Responsibility, accountability, liability, acting with integrity</t>
  </si>
  <si>
    <t>Privacy</t>
  </si>
  <si>
    <t>47/84</t>
  </si>
  <si>
    <t>Privacy, personal or private information</t>
  </si>
  <si>
    <t>41/84</t>
  </si>
  <si>
    <t>Benefits, beneficence, well-being, peace, social good, common good</t>
  </si>
  <si>
    <t>Freedom and autonomy</t>
  </si>
  <si>
    <t>34/84</t>
  </si>
  <si>
    <t>Freedom, autonomy, consent, choice, self-determination, liberty, empowerment</t>
  </si>
  <si>
    <t>28/84</t>
  </si>
  <si>
    <t>14/84</t>
  </si>
  <si>
    <t>Sustainability, environment (nature), energy, resources (energy)</t>
  </si>
  <si>
    <t>13/84</t>
  </si>
  <si>
    <t>Solidarity, social security, cohesion</t>
  </si>
  <si>
    <t>Responsibility/(I'm adding Accountability) from the article</t>
  </si>
  <si>
    <t>ChatGPT Frequency Distribution Analysis per Sector Document</t>
  </si>
  <si>
    <t>Safety</t>
  </si>
  <si>
    <t>Fundamental Rights</t>
  </si>
  <si>
    <t>Human Oversight</t>
  </si>
  <si>
    <t>Non-Discrimination</t>
  </si>
  <si>
    <t>Jobin, Hinrichs</t>
  </si>
  <si>
    <t>Jobin</t>
  </si>
  <si>
    <t>Hinrichs</t>
  </si>
  <si>
    <t>ChatGPT</t>
  </si>
  <si>
    <t>Jobin's Docs</t>
  </si>
  <si>
    <t>Name of Document/Website</t>
  </si>
  <si>
    <t>Issuer</t>
  </si>
  <si>
    <t>Country of Issuer</t>
  </si>
  <si>
    <t>L’intelligenza Artificiale al Servizio del Cittadino</t>
  </si>
  <si>
    <t>Report on Artificial Intelligence and Human Society</t>
  </si>
  <si>
    <t>Principles of Robotics</t>
  </si>
  <si>
    <t>Unified Ethical Frame for Big Data Analysis. IAF Big Data Ethics Initiative, Part A</t>
  </si>
  <si>
    <t>The Information Accountability Foundation</t>
  </si>
  <si>
    <t>USA</t>
  </si>
  <si>
    <t>AI Now Institute</t>
  </si>
  <si>
    <t>Statement on Algorithmic Transparency and Accountability</t>
  </si>
  <si>
    <t>Association for Computing Machinery (ACM)</t>
  </si>
  <si>
    <t>AI Principles</t>
  </si>
  <si>
    <t>Artificial Intelligence. The Public Policy Opportunity</t>
  </si>
  <si>
    <t>Intel Corporation</t>
  </si>
  <si>
    <t>IBM’s Principles for Trust and Transparency</t>
  </si>
  <si>
    <t>IBM</t>
  </si>
  <si>
    <t>OpenAI Charter</t>
  </si>
  <si>
    <t>OpenAI</t>
  </si>
  <si>
    <t>Our Principles</t>
  </si>
  <si>
    <t>Policy Recommendations on Augmented Intelligence in Health Care H-480.940</t>
  </si>
  <si>
    <t>American Medical Association (AMA)</t>
  </si>
  <si>
    <t>Everyday Ethics for Artificial Intelligence. A Practical Guide for Designers and Developers</t>
  </si>
  <si>
    <t>Governing Artificial Intelligence. Upholding Human Rights &amp; Dignity</t>
  </si>
  <si>
    <t>Data &amp; Society</t>
  </si>
  <si>
    <t>Introducing Unity’s Guiding Principles for Ethical AI—Unity Blog</t>
  </si>
  <si>
    <t>Unity Technologies</t>
  </si>
  <si>
    <t>Digital Decisions</t>
  </si>
  <si>
    <t>Center for Democracy &amp; Technology</t>
  </si>
  <si>
    <t>Science, Law and Society (SLS) Initiative</t>
  </si>
  <si>
    <t>The Future Society</t>
  </si>
  <si>
    <t>Responsible Bots: 10 Guidelines for Developers of Conversational AI</t>
  </si>
  <si>
    <t>Preparing for the Future of Artificial Intelligence</t>
  </si>
  <si>
    <t>Executive Office of the President; National Science and Technology Council; Committee on Technology</t>
  </si>
  <si>
    <t>National Science and Technology Council; Networking and Information Technology Research and Development Subcommittee</t>
  </si>
  <si>
    <t>AI Now 2017 Report</t>
  </si>
  <si>
    <t>Position on Robotics and Artificial Intelligence</t>
  </si>
  <si>
    <t>EU</t>
  </si>
  <si>
    <t>Report with Recommendations to the Commission on Civil Law Rules on Robotics</t>
  </si>
  <si>
    <t>European Parliament</t>
  </si>
  <si>
    <t>Ethics Guidelines for Trustworthy AI</t>
  </si>
  <si>
    <t>European Ethical Charter on the Use of Artificial Intelligence in Judicial Systems and Their Environment</t>
  </si>
  <si>
    <t>Artificial Intelligence and Machine Learning: Policy Paper</t>
  </si>
  <si>
    <t>Internet Society</t>
  </si>
  <si>
    <t>Report of COMEST on Robotics Ethics</t>
  </si>
  <si>
    <t>Software &amp; Information Industry Association (SIIA), Public Policy Division</t>
  </si>
  <si>
    <t>ITI AI Policy Principles</t>
  </si>
  <si>
    <t>Information Technology Industry Council (ITI)</t>
  </si>
  <si>
    <t>Top 10 Principles for Ethical Artificial Intelligence</t>
  </si>
  <si>
    <t>UNI Global Union</t>
  </si>
  <si>
    <t>Future of Humanity Institute; University of Oxford; Centre for the Study of Existential Risk; University of Cambridge; Center for a New American Security; Electronic Frontier Foundation; OpenAI</t>
  </si>
  <si>
    <t>White Paper: How to Prevent Discriminatory Outcomes in Machine Learning</t>
  </si>
  <si>
    <t>WEF, Global Future Council on Human Rights 2016-2018</t>
  </si>
  <si>
    <t>Privacy and Freedom of Expression in the Age of Artificial Intelligence</t>
  </si>
  <si>
    <t>Privacy International &amp; Article 19</t>
  </si>
  <si>
    <t>Access Now; Amnesty International</t>
  </si>
  <si>
    <t>Charlevoix Common Vision for the Future of Artificial Intelligence</t>
  </si>
  <si>
    <t>Leaders of the G7</t>
  </si>
  <si>
    <t>Artificial Intelligence: Open Questions About Gender Inclusion</t>
  </si>
  <si>
    <t>W20</t>
  </si>
  <si>
    <t>Declaration on Ethics and Data Protection in Artificial Intelligence</t>
  </si>
  <si>
    <t>ICDPPC</t>
  </si>
  <si>
    <t>Universal Guidelines for Artificial Intelligence</t>
  </si>
  <si>
    <t>The Public Voice</t>
  </si>
  <si>
    <t>Partnership on AI</t>
  </si>
  <si>
    <t>N/A</t>
  </si>
  <si>
    <t>Principles for Accountable Algorithms and a Social Impact Statement for Algorithms</t>
  </si>
  <si>
    <t>Fairness, Accountability, and Transparency in Machine Learning (FATML)</t>
  </si>
  <si>
    <t>10 Principles of Responsible AI</t>
  </si>
  <si>
    <t>Women Leading in AI</t>
  </si>
  <si>
    <t>Ethically Aligned Design: Version 2</t>
  </si>
  <si>
    <t>IEEE</t>
  </si>
  <si>
    <t>Crowd-sourced by 250 global thought leaders for the ethical design of autonomous systems.</t>
  </si>
  <si>
    <t>Source of the Value</t>
  </si>
  <si>
    <t>EU AI Act - ChatGPT Freq.</t>
  </si>
  <si>
    <t>Floridi</t>
  </si>
  <si>
    <t>Jobin, Floridi</t>
  </si>
  <si>
    <t>Explicability</t>
  </si>
  <si>
    <t>Jobin, Hinrichs, ChatGPT</t>
  </si>
  <si>
    <t>Indirectly covered under justice</t>
  </si>
  <si>
    <t>High frequency, directly discussed</t>
  </si>
  <si>
    <t>Beneficence and Justice</t>
  </si>
  <si>
    <t>Explicability and Autonomy</t>
  </si>
  <si>
    <t>Frequency</t>
  </si>
  <si>
    <t>Normalized %</t>
  </si>
  <si>
    <t>Weighted Contribution</t>
  </si>
  <si>
    <t>Hinrichs, Jobin</t>
  </si>
  <si>
    <t>Hinrichs, Jobin, Floridi</t>
  </si>
  <si>
    <t>Core, Sustainability</t>
  </si>
  <si>
    <t>NA</t>
  </si>
  <si>
    <t>Floridi/Jobin</t>
  </si>
  <si>
    <t>(calculated)</t>
  </si>
  <si>
    <t>Associated with autonomy</t>
  </si>
  <si>
    <t>75 (Justice)
+25 (Fairness)</t>
  </si>
  <si>
    <t>Jobin, ChatGPT</t>
  </si>
  <si>
    <t>7 (calculated)</t>
  </si>
  <si>
    <t>Researcher</t>
  </si>
  <si>
    <t>Switzerland</t>
  </si>
  <si>
    <t>Scotland</t>
  </si>
  <si>
    <t>Brazil</t>
  </si>
  <si>
    <t>European Union</t>
  </si>
  <si>
    <t>Israel</t>
  </si>
  <si>
    <t>Taiwan</t>
  </si>
  <si>
    <t>Date of Issue</t>
  </si>
  <si>
    <t>Salesforce</t>
  </si>
  <si>
    <t>Sikh</t>
  </si>
  <si>
    <t>The World Council of Churches</t>
  </si>
  <si>
    <t>X</t>
  </si>
  <si>
    <t>Accenture</t>
  </si>
  <si>
    <t>Addresses ethical considerations for AI and robotics.</t>
  </si>
  <si>
    <t>Advocates for governance and readiness in AI adoption within the UK.</t>
  </si>
  <si>
    <t>Responsible AI development and deployment, focusing on human-centric values and societal impact. A European initiative that proposes an ethical framework emphasizing principles such as beneficence, non-maleficence, autonomy, justice, and explicability.</t>
  </si>
  <si>
    <t xml:space="preserve">Ethical norms for the new generation artificial intelligence. Ministry of Science and Technology of the People's Republic of China.
</t>
  </si>
  <si>
    <t>Google outlines its commitment to developing AI responsibly, emphasizing objectives such as being socially beneficial, avoiding unfair bias, and ensuring accountability. Prioritize fairness, accountability, and social benefit.</t>
  </si>
  <si>
    <t>Emphasizes the socially responsible development of AI. Declaration focusing on fairness, public interest, and autonomy</t>
  </si>
  <si>
    <t>Stanford University HAI (SH)</t>
  </si>
  <si>
    <t>Malicious Use of Artificial Intelligence: Forecasting, Prevention, and Mitigation</t>
  </si>
  <si>
    <t>National Artificial Intelligence Research and Development Strategic Plan</t>
  </si>
  <si>
    <t>Nordic-Baltic Region’s AI Declaration</t>
  </si>
  <si>
    <t>Responsible AI Collaborative (Joint Industry Initiative)</t>
  </si>
  <si>
    <t>Responsible AI Framework</t>
  </si>
  <si>
    <t>Toronto Declaration: Protecting the Right to Equality and Non-discrimination in Machine Learning Systems</t>
  </si>
  <si>
    <t>White House Blueprint for an AI Bill of Rights (U.S.)</t>
  </si>
  <si>
    <t>Ethics of Code: Developing AI for Business with Five Core Principles</t>
  </si>
  <si>
    <t>World Council of Churches’ AI Ethics Statement</t>
  </si>
  <si>
    <t>The Statement on Artificial Intelligence, Robotics, and ‘Autonomous’ Systems by the European Group on Ethics in Science and New Technologies (2018) is a foundational document in AI ethics. Jobin underscores its role in advancing principles like transparency, accountability, and non-maleficence, framing it within the global landscape of AI guidelines. Floridi integrates this document into his comparative analysis, emphasizing its alignment with traditional bioethical principles while advocating for the inclusion of explicability to address the unique challenges posed by AI systems.</t>
  </si>
  <si>
    <t>Microsoft's Responsible AI Principles emphasize fairness, reliability and safety, privacy and security, inclusiveness, transparency, and accountability, combining a robust ethical framework (Hinrichs) with practical tools for developers and organizations to ensure ethical AI implementation (Jobin).</t>
  </si>
  <si>
    <t>The Partnership on AI Principles or Tenets, referenced by Floridi, Hinrichs, and Jobin, promote fairness, transparency, accountability, and safety-critical AI development through collaboration among academics, researchers, civil society organizations, and companies. Each researcher emphasizes its multi-stakeholder approach, with Floridi analyzing its ethical depth, Hinrichs underscoring its broad principles, and Jobin noting its collective development process.</t>
  </si>
  <si>
    <t>The UNESCO AI Recommendations set global ethical standards for AI by promoting inclusivity, sustainability, human rights, and societal well-being. These recommendations serve as both a guiding framework for international cooperation and a foundation for developing governmental regulations that align AI with these ethical principles.</t>
  </si>
  <si>
    <t>UNESCO/COMEST</t>
  </si>
  <si>
    <t>The UNESCO AI Recommendations, referenced by both Jobin and Hinrichs, represent a globally endorsed framework promoting ethical AI development. Jobin focuses on the "Report of COMEST on Robotics Ethics," which explores foundational ethical principles for AI systems. Hinrichs emphasizes the broader 2021 recommendations, which integrate human rights, cultural inclusivity, and environmental sustainability, aligning AI ethics with the UN's Sustainable Development Goals.</t>
  </si>
  <si>
    <t>Prioritizes a risk-based approach to AI regulation, emphasizing transparency and human oversight while addressing compliance through stringent legal requirements. Primary Goal: Regulation and public trust. Secondary: Regulatory compliance, human rights, societal well-being, and public trust. Strong emphasis on transparency, accountability, fairness and privacy.</t>
  </si>
  <si>
    <t>Offers practical and adaptable business guidelines, focusing on managing risks and fostering inclusivity in AI deployment.
Positions itself as a leader in creating implementation-ready ethical AI tools.</t>
  </si>
  <si>
    <t>Reflect a human-centric philosophy, emphasizing cultural harmony, ethical adaptability, and agile governance.
Stresses the integration of AI with societal and cultural values.</t>
  </si>
  <si>
    <t>National AI Strategy</t>
  </si>
  <si>
    <t>This 10-year plan aims to position the UK as a global leader in AI by focusing on three core pillars:
Investing in the Long-Term Needs of the AI Ecosystem: This involves sustained support for AI research, development, and innovation to maintain the UK's status as a science and AI superpower.
Ensuring AI Benefits All Sectors and Regions: The strategy emphasizes the integration of AI across various industries and regions, ensuring that the advantages of AI are distributed equitably throughout the country.
Governing AI Effectively: Establishing a regulatory framework that promotes innovation while safeguarding public trust and aligning with fundamental values is a key component of the strategy.</t>
  </si>
  <si>
    <t>AI Opportunities Action Plan</t>
  </si>
  <si>
    <t>UK Government</t>
  </si>
  <si>
    <t>This plan outlines 50 recommendations to enhance the UK's AI capabilities, including:
Sovereign AI Development: Plans to increase AI computing power twentyfold by 2030 through the development of a new supercomputer and the establishment of a national data library.
Private Sector Support: Creation of "AI growth zones" to facilitate the development of data centers, recruitment of elite AI talent, and support for the emergence of "national champion" AI companies.
Public Sector Integration: Implementation of AI-powered public services to improve efficiency and reduce costs.
Energy Considerations: Ensuring that AI growth is powered by clean energy, with investments in renewable sources and small nuclear reactors.
Copyright Regime Overhaul: Adjustments to the UK's copyright laws to enhance AI competitiveness, including provisions for the use of copyrighted material with opt-out options for creators.</t>
  </si>
  <si>
    <t>DeepMind’s Ethics and Society Principles, issued by Google’s UK-based DeepMind in October 2017, focus on ethical AI development with an emphasis on fairness, transparency, and societal impact. While DeepMind is headquartered in the UK, its parent company, Alphabet, is based in the USA, contributing to a global perspective on ethical AI.</t>
  </si>
  <si>
    <t>IBM’s AI Ethics Guidelines, also referred to as Principles for Trust and Transparency, were issued in May 2018 in the USA. These guidelines emphasize accountability, transparency, and user data rights as central to fostering trust in AI systems. They reflect IBM’s commitment to ethical AI practices in the industry.</t>
  </si>
  <si>
    <t>https://www.sydney.edu.au/engineering/our-research/data-science-and-computer-engineering/sydney-artificial-intelligence-centre.html</t>
  </si>
  <si>
    <t>Department/Program: Schwartz Reisman Institute for Technology and Society. Research on dignity, human rights, and responsible innovation. Departments Cognitive robotics, computational imaging, computational linguistics and NLP, knowledge representation, machine learning and robotics</t>
  </si>
  <si>
    <t>Cutting-edge research on fundamental AI and its applications.Fairness, accountability, and transparency</t>
  </si>
  <si>
    <t>Sydney Artificial Intelligence Centre</t>
  </si>
  <si>
    <t>Establishing global standards for human-centric AI that emphasizes fairness, accountability, transparency, and inclusivity. These principles align with the OECD AI Principles and focus on ensuring innovation while protecting human rights, fostering international collaboration, and minimizing risks associated with AI technologies.</t>
  </si>
  <si>
    <t>Protecting privacy and personal data rights across the European Union. It emphasizes transparency, accountability, and user consent in the collection, processing, and storage of data. It provides a framework for addressing ethical concerns in AI systems, such as ensuring data integrity, fairness, and legal compliance.</t>
  </si>
  <si>
    <t>Developing ethical and legal guidelines for data use and AI governance. It focuses on transparency, accountability, data security, and algorithmic fairness, ensuring that AI technologies uphold societal values and comply with fundamental rights. The report also addresses the ethical implications of AI in automated decision-making.</t>
  </si>
  <si>
    <t>The DoD's Ethical Principles for Artificial Intelligence, released in 2020, emphasize the responsible development and deployment of AI technologies in defense operations. The principles focus on:
Responsible Use: Ensuring AI is used in a manner consistent with legal and ethical standards.
Equitability: Mitigating unintended bias and promoting fairness in AI systems.
Traceability: Developing transparent and understandable AI processes for accountability.
Reliability: Ensuring AI systems are reliable, safe, and function as intended in diverse operational contexts.
Governability: Maintaining human oversight and the ability to deactivate or mitigate unintended consequences in AI applications.</t>
  </si>
  <si>
    <t>The Council of Europe’s CAHAI Report (Ad Hoc Committee on Artificial Intelligence) focuses on establishing a legal and ethical framework for human-centric AI that upholds human rights, democracy, and the rule of law. Key areas include:
Human Rights Protection: Ensuring that AI systems respect fundamental human rights and do not lead to discrimination or harm.
Democracy: Addressing the implications of AI for democratic processes, such as electoral integrity and freedom of expression.
Accountability and Transparency: Developing mechanisms to ensure AI systems are explainable, auditable, and accountable to users and society.
Ethical AI Development: Proposing guidelines to balance innovation with societal values, focusing on trust, fairness, and inclusivity.
The report seeks to guide AI governance through international collaboration and interdisciplinary approaches.</t>
  </si>
  <si>
    <t>The China’s New Generation AI Development Plan was first released in 2017 by the Chinese government and serves as a national strategic framework to position China as a global leader in AI by 2030. The National Governance Committee for the New Generation Artificial Intelligence, established later, contributes to this plan by focusing specifically on governance, ethical guidelines, and regulatory frameworks for AI. The 2021 updates reflect the evolution and refinement of this broader strategy, incorporating governance measures to align AI advancements with societal and ethical principles.
Key Components:
China’s New Generation AI Development Plan (2017):
Focused on technological innovation, industrial integration, and societal applications of AI.
Aimed at achieving global AI leadership by 2030.
National Governance Committee’s Contribution (2021):
Emphasized agile governance frameworks, ethical AI principles, and risk management.
Aimed at addressing the societal, ethical, and regulatory challenges of AI technologies.
Thus, the two references represent different aspects of the same strategic plan, with the 2021 governance updates building upon the original 2017 framework.</t>
  </si>
  <si>
    <t>Establishing principles to ensure the responsible design, development, and use of AI. The framework emphasizes human-centric values, fairness, transparency, privacy protection, and accountability. It encourages innovation while minimizing risks and ensuring AI benefits society. It also provides guidance for businesses and policymakers on ethical AI adoption.</t>
  </si>
  <si>
    <t>Promoting the responsible use of AI technologies aligned with societal values. The guidelines focus on safety, fairness, inclusivity, and mitigating potential harms of AI. They emphasize the development of transparent and interpretable AI systems to ensure trustworthiness and ethical alignment.</t>
  </si>
  <si>
    <t>Establishing a set of global AI ethics principles emphasizing collaboration, openness, fairness, and transparency in AI development. The principles advocate for human-centric AI, long-term sustainability, and global cooperation to mitigate risks. They call for the alignment of AI advancements with societal well-being and ethical norms.</t>
  </si>
  <si>
    <t>Developing a comprehensive national AI strategy aimed at fostering innovation, ethical governance, and economic growth through AI. The strategy emphasizes capacity building, education, transparency, and privacy. It also promotes the integration of AI across public and private sectors to address societal challenges while ensuring adherence to ethical standards.</t>
  </si>
  <si>
    <t>The UK’s national institute for AI and data science focuses on foundational and applied AI research to address societal challenges. Key areas include ethics, fairness, transparency, and the governance of AI systems. It emphasizes interdisciplinary collaboration to create AI systems that are trustworthy, beneficial, and aligned with public interest.</t>
  </si>
  <si>
    <t>Alibaba's framework focuses on leveraging AI for societal benefits, such as poverty alleviation, disaster response, and environmental sustainability. It prioritizes fairness, inclusivity, and ethical responsibility, ensuring AI technologies contribute positively to global challenges.</t>
  </si>
  <si>
    <t>Ensures responsible and transparent deployment of AI systems. The framework emphasizes avoiding bias in algorithms, enhancing accountability, and protecting user data privacy. It also includes commitments to fairness, inclusivity, and ensuring customer trust in AI-enabled solutions like AWS and Alexa.</t>
  </si>
  <si>
    <t>Embeds privacy protections into the design and development of AI systems and products. Apple emphasizes user consent, data minimization, and secure data handling. This approach prioritizes transparency and user control, ensuring that privacy remains a core value across Apple’s AI-driven technologies. Apple's AI strategy indirectly aligns with ethical AI principles by focusing on fairness, inclusivity, and usability, ensuring its products work for a wide range of users, including those with disabilities (e.g., VoiceOver and assistive technologies).</t>
  </si>
  <si>
    <r>
      <t xml:space="preserve">Developed by the UK’s Engineering and Physical Sciences Research Council (EPSRC), these principles provide a framework for the </t>
    </r>
    <r>
      <rPr>
        <b/>
        <sz val="11"/>
        <color theme="1"/>
        <rFont val="Calibri"/>
        <family val="2"/>
        <scheme val="minor"/>
      </rPr>
      <t>ethical design and deployment of robots</t>
    </r>
    <r>
      <rPr>
        <sz val="11"/>
        <color theme="1"/>
        <rFont val="Calibri"/>
        <family val="2"/>
        <scheme val="minor"/>
      </rPr>
      <t>. They emphasize the importance of human oversight, accountability, transparency, and ensuring that robots are used to benefit society rather than harm it. The principles also outline the need for fairness, data privacy, and alignment with societal values.</t>
    </r>
  </si>
  <si>
    <t>Establishing guidelines for the ethical use of AI in public services. These principles prioritize fairness, transparency, accountability, and inclusivity while ensuring that AI technologies align with Dubai’s goals for improving governance and quality of life. They also emphasize the importance of engaging stakeholders to build trust and foster innovation.</t>
  </si>
  <si>
    <t>Advocates for the protection of human rights in AI and machine learning systems, particularly the right to equality and non-discrimination. It emphasizes transparency, accountability, and the mitigation of bias in AI systems. Co-developed by organizations like Amnesty International, it highlights the risks of algorithmic discrimination and the need for frameworks to uphold fairness and inclusivity.</t>
  </si>
  <si>
    <t>A multidisciplinary initiative aimed at exploring the intersection of AI, law, and societal impact. The focus is on developing policies, ethical guidelines, and legal frameworks to ensure AI technologies advance human rights, democracy, and equitable access. It encourages collaboration among scientists, policymakers, and legal experts to address the societal challenges posed by AI.</t>
  </si>
  <si>
    <t xml:space="preserve"> Explores the ethical considerations for integrating AI into business practices. It emphasizes accountability, transparency, fairness, and the role of corporate governance in ensuring AI aligns with societal values. It also addresses ethical risks, including bias and privacy concerns, in AI-driven decision-making.</t>
  </si>
  <si>
    <t>Focuses on the ethical deployment of AI in judicial systems, emphasizing principles such as human oversight, transparency, fairness, and accountability. It aims to ensure AI supports judicial decision-making without undermining fundamental rights.</t>
  </si>
  <si>
    <t>Advocates for a human-centered approach to AI, emphasizing principles such as fairness, autonomy, and solidarity. It aims to guide ethical AI development and ensure its societal benefits outweigh risks.</t>
  </si>
  <si>
    <t>Outlines principles for responsible AI development and deployment, emphasizing fairness, transparency, and accountability. The framework provides guidance to industry and government on addressing ethical challenges while fostering innovation.</t>
  </si>
  <si>
    <t>Developed by the European Union, this framework identifies principles such as human agency, privacy, transparency, accountability, and sustainability to ensure AI systems are trustworthy and aligned with societal values.</t>
  </si>
  <si>
    <t>Addresses the ethical, social, and regulatory considerations of AI applications in healthcare. Emphasizes privacy, safety, accountability, and ensuring equitable access to AI-driven health innovations.</t>
  </si>
  <si>
    <t>Outlines India’s vision for AI to promote growth, innovation, and ethical governance while addressing societal challenges. It emphasizes capacity building, transparency, inclusivity, and policy frameworks for AI adoption.</t>
  </si>
  <si>
    <t>Google’s AI principles prioritize fairness, safety, accountability, and user-centric design. They emphasize avoiding bias, ensuring transparency, and promoting societal benefits while restricting applications for harm or surveillance.</t>
  </si>
  <si>
    <t>Developed by the American Medical Association, this focuses on integrating AI into healthcare to enhance patient care, physician decision-making, and innovation. It stresses ethics, transparency, and minimizing bias in medical AI systems.</t>
  </si>
  <si>
    <t>Provides ethical guidelines for using AI and data-driven technologies in healthcare. Key principles include privacy, data security, transparency, and ensuring patient welfare.</t>
  </si>
  <si>
    <t>SAP emphasizes fairness, accountability, transparency, and user trust in AI systems. Their principles guide AI deployment to align with ethical standards while enhancing business productivity.</t>
  </si>
  <si>
    <t>Sony’s guidelines focus on developing AI systems that are human-centric, inclusive, and aligned with societal values. They stress fairness, transparency, and fostering trust in AI technologies.</t>
  </si>
  <si>
    <t>Telefónica’s principles emphasize transparency, accountability, and ethical AI usage. They include commitments to privacy protection, inclusivity, and creating socially beneficial AI systems.</t>
  </si>
  <si>
    <t>Developed by the ICDPPC, this declaration focuses on privacy, human rights, and ensuring fairness in AI-driven data processing. It provides guidelines for ethical data protection in AI systems.</t>
  </si>
  <si>
    <t>Highlights challenges in integrating AI into healthcare, including data privacy, equity, transparency, and ethical decision-making. It advocates for inclusive governance to address disparities in AI adoption.</t>
  </si>
  <si>
    <t>Provides a global framework for human-centric AI governance, focusing on accountability, transparency, fairness, and mitigating risks. It aims to ensure ethical AI deployment across sectors.</t>
  </si>
  <si>
    <t>Proposes an ethical framework for AI development, emphasizing beneficence, non-maleficence, justice, autonomy, and explicability. It advocates for creating human-centric AI that promotes societal well-being while mitigating risks.</t>
  </si>
  <si>
    <t>6 Core Principles: 1. Effective &amp; Safe - AI systems must be accurate, reliable, and robust while proactively manaing risks. 2. Secure &amp; Private – Ensuring cybersecurity and data protection in AI applications. 3. Fair &amp; Bias-Managed – Addressing potential biases and ensuring fairness in AI decision-making. 4. Transparent &amp; Explainable – AI systems should provide clear, understandable reasoning for their outputs. 5. Accountable &amp; Monitored – Implementing oversight mechanisms to track AI performance and compliance. 6. Purposeful – AI applications must serve a clear benefit to veterans while minimizing risks​</t>
  </si>
  <si>
    <t>Governance and Regulatory Values</t>
  </si>
  <si>
    <t>Ethical Principles</t>
  </si>
  <si>
    <t>Social and Cultural Values</t>
  </si>
  <si>
    <t>Emerging Digital Ethics</t>
  </si>
  <si>
    <t>Personal and Virtue Ethics</t>
  </si>
  <si>
    <t>Sustainability and Global Impact</t>
  </si>
  <si>
    <t>https://www.csiro.au/-/media/D61/Reports/Artificial-Intelligence-ethics-framework.pdf?utm_source=chatgpt.com</t>
  </si>
  <si>
    <t xml:space="preserve">Artificial Intelligence. Australia’s Ethics Framework: A Discussion Paper, </t>
  </si>
  <si>
    <t>advancing AI research, developing efficient AI models, addressing complex challenges, creating high-impact outcomes</t>
  </si>
  <si>
    <t>https://montrealdeclaration-responsibleai.com/the-declaration?utm_source=chatgpt.com</t>
  </si>
  <si>
    <t>Academic</t>
  </si>
  <si>
    <t>https://global.sjtu.edu.cn/en/news/view/1520</t>
  </si>
  <si>
    <t>Web Summit in Lisbon</t>
  </si>
  <si>
    <t>Business</t>
  </si>
  <si>
    <t>https://www.basicbooks.com/titles/martin-ford/rise-of-the-robots/9780465097531/</t>
  </si>
  <si>
    <t>Hertie School in Berlin, Joanna Bryson</t>
  </si>
  <si>
    <t>Robots Should Be Slaves</t>
  </si>
  <si>
    <t>https://www.joannajbryson.org/publications</t>
  </si>
  <si>
    <t>human responsibility, transparency, accountability, ethical design, governance, non-anthropomorphization, regulation, AI as tools, moral agency, societal impact</t>
  </si>
  <si>
    <t>MIT, Daniela Rus</t>
  </si>
  <si>
    <t>Web Summit 2024</t>
  </si>
  <si>
    <t>https://websummit.com/blog/news/web-summit-2024-hosts-sold-out-event-with-record-breaking-71528-attendees</t>
  </si>
  <si>
    <t>https://felixreda.eu/wp-content/uploads/2017/02/Green-Digital-Working-Group-Position-on-Robotics-and-Artificial-Intelligence-2016-11-22.pdf</t>
  </si>
  <si>
    <t>https://www.womenleadinginai.org/10-principles</t>
  </si>
  <si>
    <t>fairness, transparency, accountability, privacy, safety and security, inclusivity, human control, sustainability, professional responsibility, promotion of human values</t>
  </si>
  <si>
    <t>AI and Society Research Group</t>
  </si>
  <si>
    <t>Victoria University of Wellington</t>
  </si>
  <si>
    <t>New Zeland</t>
  </si>
  <si>
    <t>https://www.telekom.com/en/company/digital-responsibility/details/artificial-intelligence-ai-guideline-524366?form=MG0AV3</t>
  </si>
  <si>
    <t>responsibility, care, customer focus, transparency, security, foundational principles, control, cooperation, education</t>
  </si>
  <si>
    <t>https://publications.parliament.uk/pa/ld201719/ldselect/ldai/100/100.pdf?form=MG0AV3</t>
  </si>
  <si>
    <t>https://ainowinstitute.org/publication/ai-now-2017-report-2?form=MG0AV3</t>
  </si>
  <si>
    <t>https://www.digitaldubai.ae/docs/default-source/ai-principles-resources/ai-ethics.pdf?form=MG0AV3</t>
  </si>
  <si>
    <t>https://futureoflife.org/open-letter/ai-principles/?form=MG0AV3&amp;form=MG0AV3</t>
  </si>
  <si>
    <t>International Organization</t>
  </si>
  <si>
    <t>fairness, accountability, transparency, explainability</t>
  </si>
  <si>
    <t>https://www.telefonica.com/wp-content/uploads/sites/7/2021/11/principios-ai-eng-2018.pdf</t>
  </si>
  <si>
    <t>fair AI, transparent and explainable AI, human-centric AI, privacy and security by design</t>
  </si>
  <si>
    <t>https://link.springer.com/article/10.1007/s11023-018-9482-5?form=MG0AV3</t>
  </si>
  <si>
    <t>Research Institute</t>
  </si>
  <si>
    <t>https://www.rcp.ac.uk/policy-and-campaigns/policy-documents/artificial-intelligence-ai-in-health</t>
  </si>
  <si>
    <t>https://www.internetsociety.org/resources/doc/2017/artificial-intelligence-and-machine-learning-policy-paper/?form=MG0AV3</t>
  </si>
  <si>
    <t>transparency, accountability, fairness, justice, human-centered AI, safety, security, sustainability, privacy</t>
  </si>
  <si>
    <t>NGO</t>
  </si>
  <si>
    <t>ethical considerations, interpretability, empowerment, responsibility, accountability, inclusive participation</t>
  </si>
  <si>
    <t>Regulatory Body</t>
  </si>
  <si>
    <t>https://www.datatilsynet.no/en/regulations-and-tools/reports-on-specific-subjects/ai-and-privacy/</t>
  </si>
  <si>
    <t>https://community.intel.com/legacyfs/online/files/Intel-Artificial-Intelligence-Public-Policy-White-Paper-2017.pdf</t>
  </si>
  <si>
    <t>Guiding Principles on Business and Human Rights</t>
  </si>
  <si>
    <t>respect human rights, enable human oversight, enable transparency and explainability, advance security, safety, and reliability, design for privacy, promote equity and inclusion, protect the environment</t>
  </si>
  <si>
    <t>https://bmdv.bund.de/SharedDocs/EN/publications/report-ethics-commission-automated-and-connected-driving.pdf?__blob=publicationFile&amp;form=MG0AV3</t>
  </si>
  <si>
    <t>https://ico.org.uk/media/for-organisations/documents/2013559/big-data-ai-ml-and-data-protection.pdf?form=MG0AV3</t>
  </si>
  <si>
    <t>European Commission</t>
  </si>
  <si>
    <t>France AI Strategy Report</t>
  </si>
  <si>
    <t>French Government</t>
  </si>
  <si>
    <t>https://www.ibe.org.uk/resource/ibe-briefing-58-business-ethics-and-artificial-intelligence-pdf.html?form=MG0AV3</t>
  </si>
  <si>
    <t>Trusthworthy AI</t>
  </si>
  <si>
    <t>nVidia</t>
  </si>
  <si>
    <t>ethics risk, workforce risk, technology risk</t>
  </si>
  <si>
    <t>https://www.nvidia.com/en-us/ai-data-science/trustworthy-ai/?form=MG0AV3</t>
  </si>
  <si>
    <t>Council of Europe</t>
  </si>
  <si>
    <t>https://www.privacyconference2018.org/system/files/2018-10/20180922_ICDPPC-40th_AI-Declaration_ADOPTED.pdf?form=MG0AV3</t>
  </si>
  <si>
    <t>purpose specification, accountability, transparency, ethics by design, empowerment, non-discrimination</t>
  </si>
  <si>
    <t>https://www.nature.com/articles/538311a</t>
  </si>
  <si>
    <t>Research
Business</t>
  </si>
  <si>
    <t>social-systems analysis, ethical design frameworks, AI bias and discrimination, social responsibility</t>
  </si>
  <si>
    <t>There is a blind spot in AI Research</t>
  </si>
  <si>
    <t>Google Deep Minds
Crawford and Calo Article</t>
  </si>
  <si>
    <t>Technology Policy</t>
  </si>
  <si>
    <t>https://cdt.org/insights/digital-decisions-tool/?form=MG0AV3</t>
  </si>
  <si>
    <t>https://www.niti.gov.in/sites/default/files/2023-03/National-Strategy-for-Artificial-Intelligence.pdf?form=MG0AV3</t>
  </si>
  <si>
    <t>https://www.pdpc.gov.sg/-/media/Files/PDPC/PDF-Files/Resource-for-Organisation/AI/Discussion-Paper-on-AI-and-PD---050618.pdf</t>
  </si>
  <si>
    <t>AI benefits and risks, AI governance framework, stakeholder roles, data protection by design, transparency, fairness, human-centricity</t>
  </si>
  <si>
    <t>Singapore's Approach to AI Governance</t>
  </si>
  <si>
    <t>transparency, explainability, repeatability/reproducibility, safety, security, robustness, fairness, data governance, accountability, human agency and oversight, inclusive growth, societal and environmental well-being</t>
  </si>
  <si>
    <t>https://www.pdpc.gov.sg/help-and-resources/2020/01/model-ai-governance-framework</t>
  </si>
  <si>
    <t>healthcare, agriculture, education, smart cities and infrastructure, smart mobility and transportation, data availability and quality, skilled workforce, ethical considerations, privacy, security, research and development, skilling for the AI age, accelerating adoption, ethics, privacy, security</t>
  </si>
  <si>
    <t>Responsible AI #AIFORALL</t>
  </si>
  <si>
    <t>https://www.soumu.go.jp/main_content/000507517.pdf?form=MG0AV3</t>
  </si>
  <si>
    <t>ethical considerations, governance, societal impacts, international collaboration, AI R&amp;D guidelines, global standards, AI development best practices</t>
  </si>
  <si>
    <t>https://ii.tudelft.nl/bnvki/wp-content/uploads/2018/09/Dutch-AI-Manifesto.pdf?form=MG0AV3</t>
  </si>
  <si>
    <t>Swiss Federal Council</t>
  </si>
  <si>
    <t>Ministry for Security and Emerging Technologies</t>
  </si>
  <si>
    <t>https://www.most.gov.cn/kjbgz/202109/t20210926_177063.html</t>
  </si>
  <si>
    <t>advancement of human welfare, promotion of fairness and justice, protection of privacy and security, assurance of controllability and trustworthiness, strengthening of accountability, cultivation of ethics</t>
  </si>
  <si>
    <t>Ethical Principles for Artificial Intelligence and  Data Analytics</t>
  </si>
  <si>
    <t>non-discrimination, transparency, accountability, sector-specific guidelines, ethics and regulatory framework, fairness and equal opportunity, comparing algorithmic systems</t>
  </si>
  <si>
    <t>I have this document on my hard drive</t>
  </si>
  <si>
    <t>Trade Association</t>
  </si>
  <si>
    <t>Artificial Intelligence: The Road Ahead in Low and Middle-Income Countries</t>
  </si>
  <si>
    <t>Research</t>
  </si>
  <si>
    <t>https://futureadvocacy.com/publications/ethical-social-and-political-challenges-of-artificial-intelligence-in-health/</t>
  </si>
  <si>
    <t>https://standards.ieee.org/wp-content/uploads/import/documents/other/ead1e.pdf?form=MG0AV3</t>
  </si>
  <si>
    <t>Information Technology</t>
  </si>
  <si>
    <t>https://www.digicatapult.org.uk/wp-content/uploads/2021/11/Machine_Intelligence_Garage_Impact_Report-2021-1.pdf?_gl=1*a2w0ho*_up*MQ..*_ga*MTk5MjgyNTkwOC4xNzQxODAwMzEw*_ga_8GYS9S4HND*MTc0MTgwMDMwOC4xLjAuMTc0MTgwMDMwOC4wLjAuMA..</t>
  </si>
  <si>
    <t>https://pubs.rsna.org/doi/pdf/10.1148/radiol.2019191586?form=MG0AV3</t>
  </si>
  <si>
    <t>https://digital-strategy.ec.europa.eu/en/library/ethics-guidelines-trustworthy-ai?form=MG0AV3</t>
  </si>
  <si>
    <t>Digital Catapult</t>
  </si>
  <si>
    <t>Machine Intelligence Garage</t>
  </si>
  <si>
    <t>business and investment support, technical support, applied AI ethics support, ethical AI considerations, access to computational resources, startup acceleration, innovation and growth, investor connections, product development, AI ethics committee, increased turnover, team expansion, job creation, new product introduction.</t>
  </si>
  <si>
    <t>https://www.sage.com/investors/-/media/files/company/documents/pdf/business%20builders/latest%20news/business%20builders%20ethics%20of%20code.pdf?form=MG0AV3</t>
  </si>
  <si>
    <t>Icelandic Institute for Intelligent Machines</t>
  </si>
  <si>
    <t>Diversity, transparency, showing its workings, creativity, accountability, inclusivity,  responsibility</t>
  </si>
  <si>
    <t>https://www.iiim.is/ethics-policy/?form=MG0AV3</t>
  </si>
  <si>
    <t>prohibition of harmful projects, rejection of military funding, exclusion of military-affiliated collaborations, opposition to military applications of AI, opposition to surveillance and privacy invasion</t>
  </si>
  <si>
    <t>https://hal.science/ALLISTENE-CERNA/hal-01086579v1</t>
  </si>
  <si>
    <t>https://artificialintelligenceact.eu/the-act/?form=MG0AV3</t>
  </si>
  <si>
    <t xml:space="preserve">
https://rm.coe.int/ethical-charter-en-for-publication-4-december-2018/16808f699c</t>
  </si>
  <si>
    <t>https://www.ibm.com/watson/assets/duo/pdf/everydayethics.pdf?form=MG0AV3</t>
  </si>
  <si>
    <t>IBM AI principles, data ownership, transparency and explainability, explainability, fairness, robustness, privacy, AI Ethics Board, trustworthy AI, augmenting human intelligence</t>
  </si>
  <si>
    <t>What is AI Ethics</t>
  </si>
  <si>
    <t>accountability, value alignment, explainability, fairness, user data rights</t>
  </si>
  <si>
    <t>Mission Villani
Cedric Villani</t>
  </si>
  <si>
    <t>https://www.ibm.com/policy/trust-principles/?form=MG0AV3
https://www.ibm.com/think/topics/ai-ethics</t>
  </si>
  <si>
    <t>https://comite-etica.upc.edu/ca/actualitat/media/missionvillani_report_eng-vf.pdf?form=MG0AV3</t>
  </si>
  <si>
    <t>Generative AI and Ethics</t>
  </si>
  <si>
    <t>Humans and machines - Challenges of artificial intelligence</t>
  </si>
  <si>
    <t>https://datasociety.net/library/governing-artificial-intelligence/</t>
  </si>
  <si>
    <t>Harvard</t>
  </si>
  <si>
    <t>Belgium</t>
  </si>
  <si>
    <t>Argentina</t>
  </si>
  <si>
    <t>Chile</t>
  </si>
  <si>
    <t>Guiding Principles on Trusted AI Ethics</t>
  </si>
  <si>
    <t>Telia Company</t>
  </si>
  <si>
    <t>Sweden</t>
  </si>
  <si>
    <t>Beijing AI Principles</t>
  </si>
  <si>
    <t>New York Times</t>
  </si>
  <si>
    <t>Inter-Governmental Organization</t>
  </si>
  <si>
    <t>Governance Principles for a New Generation of AI</t>
  </si>
  <si>
    <t>Mexico</t>
  </si>
  <si>
    <t>Transparency, explainability, repeatability/reproducibility, safety, security, robustness, fairness, data governance, accountability, human agency and oversight, inclusive growth, societal and environmental well-being.</t>
  </si>
  <si>
    <t>Personal Data Protection Commission SIngapore</t>
  </si>
  <si>
    <t xml:space="preserve"> https://ai.kisdi.re.kr/eng/main/contents.do?menuNo=500011.
https://iapp.org/news/a/analyzing-south-korea-s-framework-act-on-the-development-of-ai.</t>
  </si>
  <si>
    <t>https://datagovhub.elliott.gwu.edu/republic-of-korea-ai-strategy/?form=MG0AV3</t>
  </si>
  <si>
    <t>Healthcare, agriculture, education, smart cities and infrastructure, smart mobility and transportation, data availability and quality, skilled workforce, ethical considerations, privacy, security, research and development, skilling for the AI age, accelerating adoption, ethics, privacy, security</t>
  </si>
  <si>
    <t>Privacy, safety and security, transparency, nondiscrimination</t>
  </si>
  <si>
    <t>https://www.caidp.org/universal-guidelines-for-ai/?form=MG0AV3</t>
  </si>
  <si>
    <t>https://www.europarl.europa.eu/doceo/document/A-8-2017-0005_EN.html?form=MG0AV3</t>
  </si>
  <si>
    <t>Human safety, freedom of choice, privacy protection, data management, prevention of manipulation, social connectivity, equal access, limitation on human enhancement</t>
  </si>
  <si>
    <t>https://www.op.fi/en/op-financial-group/corporate-social-responsibility/commitments-and-principles?form=MG0AV3</t>
  </si>
  <si>
    <t>Good banking and insurance practices, corporate responsibility policies, UN Principles of Responsible Banking, UN Global Compact Initiative Principles, Code of Business Ethics, commitment to the Paris Agreement</t>
  </si>
  <si>
    <t>Responsibility, human rights, fairness and equality, safety and security, transparency</t>
  </si>
  <si>
    <t>https://julkaisut.valtioneuvosto.fi/handle/10024/160980?form=MG0AV3</t>
  </si>
  <si>
    <t>Human-centricity, transparency, fairness, responsibility, safety and security</t>
  </si>
  <si>
    <t>https://www.tietoevry.com/en/newsroom/all-news-and-releases/press-releases/2018/10/tieto-strengthens-commitment-to-ethical-use-of-ai/?form=MG0AV3</t>
  </si>
  <si>
    <t>https://www.cnil.fr/en/how-can-humans-keep-upper-hand-report-ethical-matters-raised-algorithms-and-artificial-intelligence?form=MG0AV3</t>
  </si>
  <si>
    <t>Respect for human dignity, freedom and autonomy, equality and justice, transparency and intelligibility, responsibility, non-maleficence, privacy and data protection</t>
  </si>
  <si>
    <t>Government and Regulatory Affairs</t>
  </si>
  <si>
    <t>https://www.sap.com/documents/2022/01/a8431b91-117e-0010-bca6-c68f7e60039b.html?form=MG0AV3</t>
  </si>
  <si>
    <t>Proportionality and do not harm, safety and security, fairness and non-discrimination, sustainability, right to privacy and data protection, human oversight and determination, transparency and explainability, responsibility and accountability, awareness and literacy, multi-stakeholder and adaptive governance and collaboration</t>
  </si>
  <si>
    <t>https://unesdoc.unesco.org/ark:/48223/pf0000381137?form=MG0AV3</t>
  </si>
  <si>
    <t>Respect for human rights and human dignity, living in peaceful just and interconnected societies, ensuring diversity and inclusiveness, environmental and ecosystem flourishing, proportionality and do no harm, safety and security, fairness and non-discrimination, sustainability, privacy and data protection, human oversight and determination, transparency and explainability, responsibility and accountability, awareness and literacy, multi-stakeholder and adaptive governance and collaboration</t>
  </si>
  <si>
    <t>https://oikoumene.org/resources/documents/statement-on-the-unregulated-development-of-artificial-intelligence?form=MG0AV3</t>
  </si>
  <si>
    <t>Values:
Human identity and uniqueness, ethical responsibility, global equality, human dignity, justice, accountability, environmental sustainability, social cohesion, peace
Principles:
Precautionary regulation, fairness and non-discrimination, transparency, accountability frameworks, international cooperation, UN engagement, ecumenical collaboration, theological reflection on AI ethics</t>
  </si>
  <si>
    <t>Values:
Academic integrity, transparency, fairness and equity, privacy and data security, environmental responsibility
Principles:
Ethical use of AI, bias awareness and mitigation, human oversight in AI systems, accountability in AI-driven research, interdisciplinary collaboration</t>
  </si>
  <si>
    <t xml:space="preserve">Committee on AI Tools for Education and Research
Centre for Networked Intelligence  </t>
  </si>
  <si>
    <t>Jobin's Ethical principle</t>
  </si>
  <si>
    <t xml:space="preserve">Harvard's </t>
  </si>
  <si>
    <t>Do no harm</t>
  </si>
  <si>
    <t>No discrimination and equality</t>
  </si>
  <si>
    <t>Trust binding through participation</t>
  </si>
  <si>
    <t>Human rights framework</t>
  </si>
  <si>
    <t>Due diligence</t>
  </si>
  <si>
    <t>Harvard emphasizes human rights impact assessments, while Jobin does not explicity include a similar procedural safeguard</t>
  </si>
  <si>
    <t>Harvard advocates for multi-stakeholder involvement, which Jobin does not explicity highlight</t>
  </si>
  <si>
    <t>Sustainability (environmental)</t>
  </si>
  <si>
    <t>Harvard explicity grounds AI ethics in international human rights, law, which encompasess dignity,  whereas Jobin focuses on ethical principles, where dignity is a core principle</t>
  </si>
  <si>
    <t>More human rights oriented</t>
  </si>
  <si>
    <t>More ethical frameworks for AI Governance</t>
  </si>
  <si>
    <t>Emphasizes procedural safeguards</t>
  </si>
  <si>
    <t>https://www.niti.gov.in/sites/default/files/2023-03/Responsible-AI-AIForAll-Approach-Document-for-India-Part-Principles-for-Responsible-AI.pdf?form=MG0AV3&amp;form=MG0AV3</t>
  </si>
  <si>
    <t>Equality, truth, seva (selfless service), community and inclusivity, environment stewardship</t>
  </si>
  <si>
    <t>https://www.sikhnet.com/news/ai-and-sikhism%C2%A0?form=MG0AV3&amp;form=MG0AV3</t>
  </si>
  <si>
    <t>https://webfoundation.org/docs/2018/06/AI-Gender.pdf?form=MG0AV3</t>
  </si>
  <si>
    <t>Inclusivity, transparency, fairness, accountability, equity, diversity, safety and security, ethical governance, accessibility, impact assessment.</t>
  </si>
  <si>
    <t>https://www.international.gc.ca/world-monde/assets/pdfs/international_relations-relations_internationales/g7/2018-06-09-artificial-intelligence-artificielle-en.pdf?form=MG0AV3</t>
  </si>
  <si>
    <t>Principles: Human-centric AI, privacy protection, cybersecurity, transparency, accountability, safety, inclusivity, gender equality, lifelong learning, multistakeholder engagement.
Values: Human rights, economic growth, societal trust, innovation, diversity, empowerment, fairness, ethics, openness, collaboration.</t>
  </si>
  <si>
    <t>https://www.itic.org/policy/artificial-intelligence?form=MG0AV3</t>
  </si>
  <si>
    <t>Principles: Transparency, accountability, safety, controllability, data integrity, interpretability, inclusivity, public-private partnership, innovation, intellectual property protection.​
Values: Trust, ethics, responsibility, collaboration, diversity, security, privacy, fairness, human rights, societal benefit.</t>
  </si>
  <si>
    <t>https://arxiv.org/abs/1802.07228v1</t>
  </si>
  <si>
    <t>Proactive mitigation, collaborative research, dual-use awareness, importation of best practices, stakeholder engagement.</t>
  </si>
  <si>
    <t>Principles: Transparency, accountability, privacy, data protection, freedom of expression, fairness, non-discrimination, human rights impact assessment, public engagement, legal safeguards.
Values: Privacy, freedom of expression, human rights, equity, inclusivity, responsibility, security, digital rights.</t>
  </si>
  <si>
    <t>https://www.article19.org/wp-content/uploads/2018/04/Privacy-and-Freedom-of-Expression-In-the-Age-of-Artificial-Intelligence-1.pdf?form=MG0AV3</t>
  </si>
  <si>
    <t>https://unesdoc.unesco.org/ark:/48223/pf0000253952?form=MG0AV3</t>
  </si>
  <si>
    <t>Principles: Human dignity, human rights, fundamental freedoms, benefit and harm, autonomy, justice, responsibility.​
Values: Human dignity, human rights, fundamental freedoms, well-being, autonomy, justice, responsibility.</t>
  </si>
  <si>
    <t>Principles: Human dignity, human rights, fundamental freedoms, benefit and harm, autonomy, justice, responsibility.​
Values: Human dignity, human rights, fundamental freedoms, well-being, autonomy, justice, responsibility.</t>
  </si>
  <si>
    <t>https://www.accessnow.org/press-release/the-toronto-declaration-protecting-the-rights-to-equality-and-non-discrimination-in-machine-learning-systems/?form=MG0AV3</t>
  </si>
  <si>
    <t>Principles: Equality, non-discrimination, transparency, accountability, human rights due diligence, effective remedy, inclusivity, diversity, equity.​
Values: Equality, non-discrimination, human rights, inclusivity, diversity, equity.​</t>
  </si>
  <si>
    <t>Principles: Transparency, right to human determination, identification obligation, assessment and accountability obligation, public safety obligation, cybersecurity obligation, prohibition on secret profiling, fairness obligation, accuracy, reliability, and validity obligations, data quality obligation, public disclosure obligation, termination obligation.​
Values: Human rights, privacy, fairness, accountability, transparency, safety, security.</t>
  </si>
  <si>
    <t>Principles: Active inclusion, fairness, right to understanding, access to redress.​
Values: Equality, non-discrimination, transparency, accountability, human rights.</t>
  </si>
  <si>
    <t>https://www3.weforum.org/docs/WEF_40065_White_Paper_How_to_Prevent_Discriminatory_Outcomes_in_Machine_Learning.pdf?form=MG0AV3</t>
  </si>
  <si>
    <t>Principles: Justice (ʿadl), human dignity (karāmah), responsibility (mas’ūliyyah), public interest (maṣlaḥa), preservation of faith (dīn), life (nafs), intellect (ʿaql), lineage (nasl), and wealth (māl).​
Values: Justice, human dignity, responsibility, public interest, preservation of fundamental aspects of human existence.</t>
  </si>
  <si>
    <t>Ministry of Innovation, Science and Technology and the Ministry of Justice</t>
  </si>
  <si>
    <t>Principles: Human-centric AI, equality and non-discrimination, transparency and explainability, reliability, robustness, security and safety, accountability. ​
Values: Human dignity, privacy, equality, transparency, safety, accountability.</t>
  </si>
  <si>
    <t>Shalom Center</t>
  </si>
  <si>
    <t>Principles: Human dignity, moral agency, responsibility, transparency, inclusivity, justice.​
Values: Human dignity, moral agency, responsibility, transparency, inclusivity, justice.</t>
  </si>
  <si>
    <t>https://www.agid.gov.it/it/agenzia/stampa-e-comunicazione/notizie/2018/03/21/lintelligenza-artificiale-al-servizio-del-cittadino-sfide-opportunita?form=MG0AV3
https://libro-bianco-ia.readthedocs.io/it/latest/?form=MG0AV3</t>
  </si>
  <si>
    <t>Principles: Human-centric approach, ethical use, transparency, accountability, inclusivity, accessibility, data quality, privacy, security, reliability, continuous improvement.​
Values: Human dignity, ethical responsibility, transparency, accountability, inclusivity, accessibility, data integrity, privacy, security, reliability, commitment to progress.</t>
  </si>
  <si>
    <t>Principles: Contribute to the peace and happiness of humanity, respect human rights, comply with laws and regulations, ensure the safety and robustness of AI systems, act with integrity, ensure transparency, accountability, and explainability, respect privacy, avoid unfair discrimination, contribute to sustainable development, engage in dialogue with society. ​
Values: Human rights, safety, integrity, transparency, accountability, privacy, fairness, sustainability, societal engagement.</t>
  </si>
  <si>
    <t>Principles: Human-centric approach, respect for human rights, privacy protection, ensuring security, fairness, accountability, transparency, inclusivity, sustainability, collaboration.
Values: Human dignity, privacy, security, fairness, accountability, transparency, inclusivity, sustainability, collaboration.</t>
  </si>
  <si>
    <t>https://www8.cao.go.jp/cstp/tyousakai/ai/summary/aisociety_en.pdf?form=MG0AV3</t>
  </si>
  <si>
    <t>https://www.sony.com/en/SonyInfo/sony_ai/responsible_ai.html?form=MG0AV3</t>
  </si>
  <si>
    <t>Principles: Fairness, diversity, transparency, explainability, safety, security, privacy, respect for human rights, stakeholder engagement, accountability, ethical AI development, and use. ​
Values: Fairness, diversity, transparency, safety, privacy, human rights, accountability, ethical responsibility.</t>
  </si>
  <si>
    <t>https://www.fatml.org/resources/principles-for-accountable-algorithms?form=MG0AV3
https://sorelle.friedler.net/papers/principles.pdf?form=MG0AV3</t>
  </si>
  <si>
    <t>Principles: Responsibility, explainability, accuracy, auditability, fairness. ​
Fat ML
Values: Accountability, transparency, non-discrimination, ethical integrity.</t>
  </si>
  <si>
    <t>Academia 
Research</t>
  </si>
  <si>
    <t>https://www.rathenau.nl/sites/default/files/2018-02/Human%20Rights%20in%20the%20Robot%20Age-Rathenau%20Instituut-2017.pdf?form=MG0AV3</t>
  </si>
  <si>
    <t>Principles: Respect for private life, human dignity, ownership, safety, liability, freedom of expression, prohibition of discrimination, access to justice, and the right to a fair trial. Additionally, the report proposes two novel human rights: the right not to be measured, analyzed, or coached, and the right to meaningful human contact. 
Values: Privacy, human dignity, autonomy, safety, freedom of expression, non-discrimination, justice, meaningful human interaction.</t>
  </si>
  <si>
    <t>Ministers from Denmark, Estonia, Finland, the Faroe Islands, Iceland, Latvia, Lithuania, Norway, Sweden, and the Åland Islands</t>
  </si>
  <si>
    <t>Principles: Human-centric approach, ethical AI development, transparency, accountability, inclusivity, sustainability, collaboration. ​
Values: Human dignity, ethical responsibility, transparency, accountability, inclusivity, sustainability, collaboration.</t>
  </si>
  <si>
    <t>Principles: Protection of human rights and freedoms, security, transparency, technological sovereignty, innovation cycle integrity, reasonable thrift, support for competition. 
Values: Human rights, security, transparency, technological independence, innovation, economic efficiency, competitive fairness.</t>
  </si>
  <si>
    <t>President of the Russian Federation</t>
  </si>
  <si>
    <t>Russian Federation</t>
  </si>
  <si>
    <t>Principles: Human-centric approach, ethical AI development, transparency, accountability, inclusivity, sustainability, collaboration.
Values: Human dignity, ethical responsibility, transparency, accountability, inclusivity, sustainability, collaboration.</t>
  </si>
  <si>
    <t>National Strategy for the Development of AI in Ukraine for 2021-2030</t>
  </si>
  <si>
    <t>https://cset.georgetown.edu/wp-content/uploads/Decree-of-the-President-of-the-Russian-Federation-on-the-Development-of-Artificial-Intelligence-in-the-Russian-Federation-.pdf?form=MG0AV3
https://government.ru/en/news/49604/?form=MG0AV3
https://wp.oecd.ai/app/uploads/2021/12/Ukraine_National_Strategy_for_Development_of_Artificial_Intelligence_in_Ukraine_2021-2030.pdf</t>
  </si>
  <si>
    <t>Ministry of Digital Transformation
OECD, Ukraine
Atlantic Council</t>
  </si>
  <si>
    <t>Ukraine</t>
  </si>
  <si>
    <t xml:space="preserve">https://www.gov.uk/government/publications/code-of-conduct-for-data-driven-health-and-care-technology?form=MG0AV3
https://www.gov.uk/government/publications/code-of-conduct-for-data-driven-health-and-care-technology/initial-code-of-conduct-for-data-driven-health-and-care-technology
</t>
  </si>
  <si>
    <t>https://royalsociety.org/~/media/policy/projects/machine-learning/publications/machine-learning-report.pdf?form=MG0AV3</t>
  </si>
  <si>
    <t>Principles: Ethics, value proposition, usability, accessibility, technical assurance, clinical safety, data protection, data transparency, cybersecurity, regulation, interoperability, evidence generation, commercial strategy.
Values: Ethical responsibility, transparency, accountability, safety, privacy, inclusivity, effectiveness.</t>
  </si>
  <si>
    <t>Principles: Transparency, interpretability, robustness, privacy, fairness, accountability, human oversight.​
Values: Trustworthiness, ethical responsibility, inclusivity, societal well-being.</t>
  </si>
  <si>
    <t>https://www.academia.edu/48798050/Principles_of_Robotics</t>
  </si>
  <si>
    <t>Principles: Safety, security, transparency, accountability, non-deception.​
Values: Human well-being, ethical responsibility, trustworthiness.</t>
  </si>
  <si>
    <t>https://www.accenture.com/gb-en/insights/artificial-intelligence/responsible-ai-principles-practice?form=MG0AV3
https://www.accenture.com/content/dam/accenture/final/a-com-migration/pdf/pdf-149/accenture-responsible-ai-final.pdf#zoom=50
https://www.accenture.com/gb-en/services/data-ai/responsible-ai?form=MG0AV3</t>
  </si>
  <si>
    <t>Principles: Accountability, transparency, fairness, honesty, human-centricity, privacy, sustainability, safety, robustness.
Values: Trust, ethical responsibility, inclusivity, societal well-being.</t>
  </si>
  <si>
    <t>Industry</t>
  </si>
  <si>
    <t>https://www.pwc.co.uk/services/risk/insights/accelerating-innovation-through-responsible-ai/responsible-ai-framework.html?form=MG0AV3</t>
  </si>
  <si>
    <t>Principles: Strategic alignment, realistic expectations, partner clarity, transparency, regulatory compliance, organizational structure. 
Values: Responsibility, accountability, transparency, ethical integrity.</t>
  </si>
  <si>
    <t>His Highness Sheikh Mohammed bin Rashid Al Maktoum Vice President and Prime Minister of the UAE and Ruler of Dubai</t>
  </si>
  <si>
    <t xml:space="preserve">https://preprodafd-staticcdn.mbzuai.ac.ae/mbzuaiwpdev01/2022/07/UAE-National-Strategy-for-Artificial-Intelligence-2031.pdf?form=MG0AV3
https://ai.gov.ae/strategy/?form=MG0AV3
</t>
  </si>
  <si>
    <t>Principles: Innovation, collaboration, competitiveness, talent development, data infrastructure, governance.​
Values: Economic growth, technological leadership, human capital development, data-driven decision-making, ethical oversight.</t>
  </si>
  <si>
    <t>Department for Science, Innovation and Technology, Office for Artificial Intelligence, Department for Digital, Culture, Media &amp; Sport and Department for Business &amp; Industry Strategy</t>
  </si>
  <si>
    <t>Principles: Safety, security, robustness, transparency, explainability, fairness, accountability, governance, contestability, redress. ​
Values: Innovation, public trust, ethical AI use, societal benefit, economic growth.</t>
  </si>
  <si>
    <t>https://bidenwhitehouse.archives.gov/ostp/ai-bill-of-rights/?form=MG0AV3
https://data.aclum.org/wp-content/uploads/2025/01/OSTP_www_whitehouse_gov_ostp_ai-bill-of-rights.pdf?form=MG0AV3</t>
  </si>
  <si>
    <t>White House</t>
  </si>
  <si>
    <t>Principles: Safety, effectiveness, non-discrimination, data privacy, transparency, human oversight.
Values: Civil rights, privacy, equity, accountability, trust.</t>
  </si>
  <si>
    <t>Responsible AI Institute</t>
  </si>
  <si>
    <t>Principles: Transparency, explainability, fairness, accountability, privacy, security, robustness.​
Values: Ethical responsibility, trustworthiness, inclusivity, societal well-being.</t>
  </si>
  <si>
    <t>K&amp;L Gates Endowment for Ethics and Computational Technologies</t>
  </si>
  <si>
    <t>Responsible AI DoD's Ethical Principles for AI</t>
  </si>
  <si>
    <t>Carnegie Mellon</t>
  </si>
  <si>
    <t>https://www.klgates.com/The-DOL-Publishes-Best-Practices-That-Employers-Can-Follow-to-Decrease-the-Legal-Risks-Associated-With-Using-AI-in-Employment-Decisions?form=MG0AV3</t>
  </si>
  <si>
    <t>Principles: Responsibility, equitability, traceability, reliability, governability, transparency, ethical AI development, governance, risk assessment, societal impact.
Values: Ethical responsibility, accountability, fairness, safety, security, human-centric AI, trust, sustainability.</t>
  </si>
  <si>
    <t>The DOL publishes best practices that employers can follow to decrease the legal risks associated with using AI in employment decisions</t>
  </si>
  <si>
    <t>Principles: Worker empowerment, ethical AI development, governance, human oversight, transparency, protection of rights, training, data security.​
littler.com
+6
bakerbotts.com
Values: Fairness, accountability, inclusivity, privacy, safety.</t>
  </si>
  <si>
    <t>https://www.ibm.com/policy/trust-principles/?form=MG0AV3
https://www.ibm.com/policy/wp-content/uploads/2018/06/IBM_Principles_SHORT.V4.3.pdf?form=MG0AV3</t>
  </si>
  <si>
    <t>Principles: Augmentation, data ownership, transparency, explainability, fairness, robustness, privacy.
Values: Trust, responsibility, openness, security.</t>
  </si>
  <si>
    <t>Protecting Individuals’ Privacy and Data in the Artificial Intelligence World</t>
  </si>
  <si>
    <t>https://www.intel.com/content/dam/www/public/us/en/ai/documents/Intels-AI-Privacy-Policy-White-Paper-2018.pdf?form=MG0AV3</t>
  </si>
  <si>
    <t>Principles: Privacy-by-design, explainability, accountability, ethical data processing, transparency, encryption, risk-based governance, data accessibility, automated decision safeguards.
Values: Privacy, security, trust, fairness, ethical responsibility, data protection, innovation.</t>
  </si>
  <si>
    <t>Principles: Respect for human rights, human oversight, transparency and explainability, security, safety, reliability, privacy by design, equity, inclusion, environmental protection.​
Values: Ethical responsibility, accountability, trust, fairness, sustainability, inclusivity.​</t>
  </si>
  <si>
    <t>Updating Unity's guiding principles for ethical AI</t>
  </si>
  <si>
    <t>Principles: Transparency, accountability, fairness, privacy, safety, inclusivity.​
Values: Trust, ethical responsibility, respect, diversity, innovation.</t>
  </si>
  <si>
    <t>https://unity.com/blog/engine-platform/updating-unitys-guiding-principles-for-ethical-ai?form=MG0AV3</t>
  </si>
  <si>
    <t>Could not fing Jobin's 2018 version of this paper</t>
  </si>
  <si>
    <t>The global landscape of AI ethics guidelines</t>
  </si>
  <si>
    <t>Principles: Transparency, justice and fairness, non-maleficence, responsibility, privacy.​
nature.com
Values: Trust, accountability, equity, ethical responsibility, safety.</t>
  </si>
  <si>
    <t>Ethics and Governance of Artificial Intelligence</t>
  </si>
  <si>
    <t>https://cyberir.mit.edu/site/global-landscape-ai-ethics-guidelines/?form=MG0AV3
https://scholar.google.com/citations?user=910z20QAAAAJ&amp;hl=en&amp;form=MG0AV3</t>
  </si>
  <si>
    <t>https://www.microsoft.com/en-us/ai/principles-and-approach/?form=MG0AV3
https://www.microsoft.com/en-us/ai/responsible-ai?form=MG0AV3
https://cdn-dynmedia-1.microsoft.com/is/content/microsoftcorp/microsoft/msc/documents/presentations/CSR/Responsible-AI-Transparency-Report-2024.pdf</t>
  </si>
  <si>
    <t>https://www.nitrd.gov/PUBS/national_ai_rd_strategic_plan.pdf?form=MG0AV3</t>
  </si>
  <si>
    <t>Principles: Long-term investments in responsible AI research, human-AI collaboration, ethical, legal, and societal considerations, safety and security, shared datasets and environments, standards and benchmarks, workforce development, public-private partnerships, international collaboration
Values: Innovation, responsibility, collaboration, security, inclusivity, accountability.</t>
  </si>
  <si>
    <t>Principles: Broadly distributed benefits, long-term safety, technical leadership, cooperative orientation.​
Values: Humanity's welfare, ethical responsibility, collaboration, transparency, accountability.</t>
  </si>
  <si>
    <t>https://openai.com/charter/?form=MG0AV3
https://openai.com/index/moving-ai-governance-forward/?form=MG0AV3
https://openai.com/trust-and-transparency/?form=MG0AV3</t>
  </si>
  <si>
    <t>https://blog.google/technology/ai/ai-principles/?form=MG0AV3</t>
  </si>
  <si>
    <t>Principles: Be socially beneficial; avoid creating or reinforcing unfair bias; be built and tested for safety; be accountable to people; incorporate privacy design principles; uphold high standards of scientific excellence; be made available for uses that accord with these principles. ​
Values: Social benefit, fairness, safety, accountability, privacy, scientific excellence, ethical responsibility.</t>
  </si>
  <si>
    <t>https://policysearch.ama-assn.org/policyfinder/detail/augmented%20intelligence?uri=%2FAMADoc%2FHOD.xml-H-480.940.xml&amp;form=MG0AV3</t>
  </si>
  <si>
    <t xml:space="preserve">Principles: Broadly distributed benefits, long-term safety, technical leadership, cooperative orientation, transparency, accountability, ethical AI development, robustness, fairness, security, human-centric AI.
Values: Humanity’s welfare, ethical responsibility, collaboration, trust, openness, integrity, sustainability, inclusivity, safety. Notably, the 2024 update removed explicit prohibitions against developing AI for weapons or surveillance technologies. This shift has been linked to Google's intent to engage more flexibly in defense and security sectors, aligning with broader industry trends. </t>
  </si>
  <si>
    <t>https://obamawhitehouse.archives.gov/sites/default/files/whitehouse_files/microsites/ostp/NSTC/preparing_for_the_future_of_ai.pdf?form=MG0AV3</t>
  </si>
  <si>
    <t>https://www.microsoft.com/en-us/research/publication/responsible-bots/?form=MG0AV3</t>
  </si>
  <si>
    <t>Principles: Physician involvement, high-quality AI development, transparency, reproducibility, bias mitigation, patient privacy, security, education, legal oversight, equitable access.
Values: Ethical responsibility, patient safety, accountability, fairness, inclusivity, trust, innovation.</t>
  </si>
  <si>
    <t>https://thefuturesociety.org/principles-law-and-society-initiative/?form=MG0AV3</t>
  </si>
  <si>
    <t>Principles: Public engagement, ethical AI development, safety and control, economic and workforce considerations, international collaboration.
Values: Transparency, accountability, inclusivity, security, fairness.</t>
  </si>
  <si>
    <t>Principles: Transparency, accountability, privacy, security, reliability, safety, inclusiveness, fairness, user empowerment, continuous improvement.​
Values: Trust, ethical responsibility, respect, user autonomy, innovation</t>
  </si>
  <si>
    <t>https://www.salesforce.com/company/ethical-use-policy/?form=MG0AV3
https://www.salesforce.com/company/ethical-and-humane-use/?form=MG0AV3</t>
  </si>
  <si>
    <t xml:space="preserve">Principles: Human rights, privacy, safety, transparency, inclusion. ​
Values: Trust, customer success, innovation, equality, sustainability. </t>
  </si>
  <si>
    <t xml:space="preserve">https://news.stanford.edu/stories/2025/01/report-outlines-stanford-principles-for-use-of-ai?form=MG0AV3
https://provost.stanford.edu/2025/01/09/report-of-the-ai-at-stanford-advisory-committee/
https://events.stanford.edu/event/ai-governance-at-a-turning-point-new-realities-post-ai-action-summit?form=MG0AV3
https://ethicsinsociety.stanford.edu/tech-ethics/career-pathways-professional-development/ethics-technology-and-public-policy-for-practitioners?form=MG0AV3
https://fsi9-prod.s3.us-west-1.amazonaws.com/s3fs-public/2024-10/GenAI_Report_REV_ExecutiveSummary%20as%20of%20Oct%2025%202024.pdf
</t>
  </si>
  <si>
    <t>Principles: Human-centered AI, ethical considerations, transparency, accountability, safety, inclusivity, interdisciplinary collaboration, continuous evaluation.​
Values: Human well-being, responsibility, trust, fairness, diversity, innovation.</t>
  </si>
  <si>
    <t>https://www.acm.org/binaries/content/assets/public-policy/2017_usacm_statement_algorithms.pdf?form=MG0AV3</t>
  </si>
  <si>
    <t>Principles: Equality and human flourishing, transparency, accountability, measurability, competence, inclusive dialogue.
Values: Human rights, dignity, freedom, transparency, accountability, effectiveness, competence, inclusivity.</t>
  </si>
  <si>
    <t xml:space="preserve">https://www.tesla.com/legal/additional-resources?form=MG0AV3
https://www.forbes.com/sites/lanceeliot/2022/10/02/five-key-ways-that-ai-ethics-and-ai-laws-reveal-troubling-concerns-for-teslas-ai-day-showcase-and-the-ever-expanding-ai-ambitions-of-elon-musk/?form=MG0AV3
https://montrealethics.ai/applying-the-taii-framework-on-tesla-bot/?form=MG0AV3
</t>
  </si>
  <si>
    <t>Principles: Awareness, access and redress, accountability, explanation, data provenance, auditability, validation and testing. ​
Values: Fairness, transparency, responsibility, inclusivity, trust.</t>
  </si>
  <si>
    <t>Principles: Safety and reliability, transparency, accountability, privacy, fairness.
Values: Innovation, trust, responsibility, security, ethical AI development.</t>
  </si>
  <si>
    <t>https://blog.x.com/en_us/topics/company/2021/introducing-responsible-machine-learning-initiative
https://stemeducationjournal.springeropen.com/articles/10.1186/s40594-025-00527-5?form=MG0AV3
https://www.emerald.com/insight/content/doi/10.1108/jrim-05-2024-0237/full/html?form=MG0AV3
https://epjdatascience.springeropen.com/articles/10.1140/epjds/s13688-023-00445-y?form=MG0AV3</t>
  </si>
  <si>
    <t>rinciples: Responsible algorithmic decisions, equity and fairness, transparency, user agency, ethical AI education, public perception analysis.
Values: Accountability, inclusivity, trust, empowerment, ethical responsibility.</t>
  </si>
  <si>
    <t>https://bigdata.fpf.org/wp-content/uploads/2015/11/IAF-Unified-Ethical-Frame-for-Big-Data-Analysis.pdf?form=MG0AV3
https://papers.ssrn.com/sol3/papers.cfm?abstract_id=2510934&amp;form=MG0AV3</t>
  </si>
  <si>
    <t>Principles: Beneficial use, progressive development, sustainability, fairness, accountability, transparency.​
Values: Innovation, responsibility, trust, inclusivity, ethical governance.</t>
  </si>
  <si>
    <t>Asia Society Policy Institute</t>
  </si>
  <si>
    <t>Office of the Central Cyberspace Affairs Commission</t>
  </si>
  <si>
    <t>Principles: Compliance with laws and regulations, adherence to social ethics, safeguarding national security and public interests, protection of citizens' legitimate rights.​
Values: Social responsibility, ethical conduct, security, respect for individual rights.</t>
  </si>
  <si>
    <t>Principles: Compliance with laws and regulations, adherence to social ethics, safeguarding national security and public interests, protection of citizens' legitimate rights, transparency, accountability, user autonomy, protection of minors, algorithmic fairness.​
Values: Social responsibility, ethical conduct, security, respect for individual rights, fairness, inclusivity, trust.</t>
  </si>
  <si>
    <t>Interim Measures for the Administration of Generative Artificial Intelligence</t>
  </si>
  <si>
    <t>Translation: Artificial Intelligence Law, Model Law v.1.0 (Expert Suggestion Draft)</t>
  </si>
  <si>
    <t>Digichina</t>
  </si>
  <si>
    <t>Principles: People-centered development, safety and security, openness and transparency, accountability, fairness and equality, environmental sustainability, promotion of innovation, international cooperation.​
Values: Human welfare, ethical responsibility, inclusivity, trust, ecological preservation, global collaboration.</t>
  </si>
  <si>
    <t>Preparing for the Future of AI</t>
  </si>
  <si>
    <t xml:space="preserve">https://2021-2025.state.gov/risk-management-profile-for-ai-and-human-rights/?form=MG0AV3
</t>
  </si>
  <si>
    <t>Risk Management Profile for Artificial Intelligence and Human Rights</t>
  </si>
  <si>
    <t>Human Rights and artificial intelligence (CDDH-IA)</t>
  </si>
  <si>
    <t>Human Rights intergovernmental Cooperation, Council of Europe</t>
  </si>
  <si>
    <t>US Department of State</t>
  </si>
  <si>
    <t>The role of artificial intelligence in predicting human rights violations</t>
  </si>
  <si>
    <t>OpenGlobalRights</t>
  </si>
  <si>
    <t>Principles: Human rights protection, ethical AI development, risk assessment, transparency, accountability, compliance with international law.​
Values: Dignity, fairness, justice, responsibility, trust.</t>
  </si>
  <si>
    <t>Claude's Constitution</t>
  </si>
  <si>
    <t>Anthropic</t>
  </si>
  <si>
    <t>Principles: Pattern recognition, predictive modeling, real-time monitoring, bias mitigation, privacy protection, accountability.
Values: Human rights, fairness, trust, ethical responsibility, transparency, security.</t>
  </si>
  <si>
    <t>Treasury Board of Canada Secretariat</t>
  </si>
  <si>
    <t>Ministry of Science, Technology, and Innovation (MCTI) of Brazil</t>
  </si>
  <si>
    <t>Principles: ethical design, transparency and openness, inclusivity and diversity, accountability, sustainability Values: fairness and justice, human-centric AI, public interest</t>
  </si>
  <si>
    <t>Principles: foster innovation and open development, create new human employment opportunities and protect people’s welfare, liberate data responsibly, rethink privacy Values: innovation, responsibility, privacy, ethical data use</t>
  </si>
  <si>
    <t>Principles: data accessibility, openness, support for data-driven businesses, promotion of big data education, investment in AI research and development Values: innovation in AI research methods, improving research effectiveness, fostering a robust AI ecosystem</t>
  </si>
  <si>
    <t>Principles: human rights approach, non discrimination, equality, political participation, privacy, freedom of expression Values: fairness, inclusivity, transparency, ethical responsibility</t>
  </si>
  <si>
    <t>High-Level Expert Group on Artificial Intelligence (AI HLEG), European Commission</t>
  </si>
  <si>
    <t>Principles: respect for human autonomy, prevention of harm, fairness, explicability, human agency and oversight, technical robustness and safety, privacy and data governance, transparency Values: diversity, non-discrimination, societal and environmental well-being, accountability</t>
  </si>
  <si>
    <t>Green Digital Working Group</t>
  </si>
  <si>
    <t>Principles: human-centric development, ethical standards, transparency, accountability Values: social justice, environmental sustainability</t>
  </si>
  <si>
    <t>Principles: addressing development challenges, capacity building, ethical considerations, collaborative efforts Values: innovation, inclusivity, ethical responsibility, collaboration</t>
  </si>
  <si>
    <t>Principles: algorithmic bias and fairness, transparency and explainability, data privacy and security, accountability and governance, informed consent Values: impact on healthcare employment, regulatory and ethical oversight, inclusive policy development, ethical AI design, continuous monitoring and evaluation, strengthening regulatory frameworks</t>
  </si>
  <si>
    <t>Principles: research goal, research funding, science-policy link, research culture, race avoidance, safety, failure transparency, judicial transparency, responsibility, value alignment Values: human values, personal privacy, liberty and privacy, shared benefit, shared prosperity, human control, non-subversion, AI arms race, capability caution, importance, risks, recursive self-improvement, common good</t>
  </si>
  <si>
    <t>General Data Protection Regulation (GDPR)</t>
  </si>
  <si>
    <t>Shanghai Jiao Tong University Global News</t>
  </si>
  <si>
    <t>Principles: data privacy, data security, copyright, academic integrity, ethics, fairness, data accuracy, regulatory mechanisms
Values: training capabilities, critical thinking cultivation</t>
  </si>
  <si>
    <t>Information Commissioner's Office (ICO)</t>
  </si>
  <si>
    <t>Special Interest Group on Artificial Intelligence (SIGAI), The Netherlands</t>
  </si>
  <si>
    <t>Principles: moral and ethical implications, regulatory and governance frameworks, technological challenges and opportunities, ethical considerations in AI design, international cooperation on AI standards Values: fairness, accountability, shared global benefits</t>
  </si>
  <si>
    <t>Principles: fairness, transparency, purpose limitation, data minimization, accuracy, storage limitation, security, accountability, governance Values: ethical responsibility, privacy, data protection, trust</t>
  </si>
  <si>
    <t>Principles: national AI alliance, investment in foundational AI research, tackling multidisciplinary AI challenges, human capital development, research and innovation, data sharing, human-centric AI, support for startups Values: fostering innovation, inclusion, collaboration, ethical responsibility</t>
  </si>
  <si>
    <t>IndiaAI Portal</t>
  </si>
  <si>
    <t>IndiaAI</t>
  </si>
  <si>
    <t>Principles: compute capacity, innovation centre, datasets platform, application development, futureskills, startup financing, safe &amp; trusted AI
Values: fostering innovation, ethical AI development, accessibility, skill enhancement, trustworthiness</t>
  </si>
  <si>
    <t>Minds and Machines: Ethical Principles and Challenges in Artificial Intelligence</t>
  </si>
  <si>
    <t>The Montréal Declaration for a Responsible Development of Artificial Intelligence</t>
  </si>
  <si>
    <t>Policy for Use of AI in Teaching and Learning</t>
  </si>
  <si>
    <t>Organisation for Economic Co-operation and Development (OECD)</t>
  </si>
  <si>
    <t>Principles and Values: Principles include inclusive growth, sustainable development, well-being, human rights, democratic values, fairness, privacy, transparency, explainability, robustness, security, safety, and accountability. Values emphasize innovation, trustworthiness, respect for human rights, democratic values, non-discrimination, equality, freedom, dignity, autonomy, privacy, data protection, diversity, social justice, labour rights, environmental sustainability, and responsible business conduct.</t>
  </si>
  <si>
    <t>Principles: opportunities and risks of AI, ethical principles, beneficence, non-maleficence, autonomy, justice, explicability, recommendations for policymakers, industry leaders, stakeholders Values: responsibility, fairness, inclusivity, transparency, accountability, collaboration, societal well-being, ethical governance, human-centric AI</t>
  </si>
  <si>
    <t>Principles: well-being, respect for autonomy, protection of privacy and intimacy, solidarity, democratic participation, equity, diversity and inclusion, prudence, responsibility, sustainable development Values: ethical responsibility, inclusivity, fairness, trust</t>
  </si>
  <si>
    <t>Principles: transparency, accountability, ethical usage, academic integrity, inclusivity Values: innovation, excellence, resilience, integrity</t>
  </si>
  <si>
    <t>Principles: inclusive growth, sustainable development, well-being, human rights, democratic values, fairness, privacy, transparency, explainability, robustness, security, safety, accountability Values: innovation, trustworthiness, respect for human rights, democratic values, non-discrimination, equality, freedom, dignity, autonomy, privacy, data protection, diversity, social justice, labour rights, environmental sustainability, responsible business conduct</t>
  </si>
  <si>
    <t>Luciano Floridi et al., Atomium—EISMD Initiative</t>
  </si>
  <si>
    <t>House of Lords Select Committee on Artificial Intelligence</t>
  </si>
  <si>
    <t>Principles: transparency, accountability, fairness, justice, privacy, sustainability, responsibility, non-maleficence Values: ethical responsibility, inclusivity, societal trust, human-centric development</t>
  </si>
  <si>
    <t>Ethics of Artificial Intelligence in Radiology: Summary of the Joint European and North American Multisociety Statement</t>
  </si>
  <si>
    <t>Joint European and North American Multisociety (including ACR, RSNA, ESR, and others)</t>
  </si>
  <si>
    <t>Principles: well-being, minimize harm, distribute benefits and risks, transparency, accountability, human responsibility, ethical codes Values: patient welfare, common good, ethical responsibility, societal trust</t>
  </si>
  <si>
    <t>EGE Statements</t>
  </si>
  <si>
    <t>European Group on Ethics in Science and New Technologies (EGE)</t>
  </si>
  <si>
    <t>Rome Call for AI Ethics</t>
  </si>
  <si>
    <t>Pontifical Academy for Life, Microsoft, IBM, FAO, Italian Ministry of Innovation</t>
  </si>
  <si>
    <t>Principles: transparency, inclusion, accountability, impartiality, reliability, security, privacy Values: human dignity, shared responsibility, ethical innovation, societal trust</t>
  </si>
  <si>
    <t>IEEE Global Initiative on Ethics of Autonomous and Intelligent Systems</t>
  </si>
  <si>
    <t>Principles: human rights, well-being, data agency, effectiveness, transparency, accountability, awareness of misuse, competence, sustainable development, ethical foundations, interdisciplinary collaboration, policy and regulation Values: ethical responsibility, societal trust, human-centric development, interdisciplinary integrity</t>
  </si>
  <si>
    <t>Ethically Aligned Design:
Version 1.1</t>
  </si>
  <si>
    <t>AI Strategy for Mexico</t>
  </si>
  <si>
    <t>Principles: artificial intelligence advancements, humanoid robotics, sustainability, ethical AI, automation, renewable energy, digital transformation, technological innovation, environmental responsibility, workforce adaptation Values: innovation, ethical responsibility, environmental stewardship, societal progress</t>
  </si>
  <si>
    <t>Principles: accountability, transparency, fairness, privacy, security, robustness, inclusivity, human-centric design, explainability, sustainability, Values: ethical responsibility, societal trust, innovation, inclusivity</t>
  </si>
  <si>
    <t>AI for Good - Alibaba’s Vision for Tackling Global Challenges</t>
  </si>
  <si>
    <t>Principles: climate risk mitigation, healthcare innovation, agricultural advancement, scientific discovery, educational enhancement; Values: sustainability, societal well-being, innovation, inclusivity</t>
  </si>
  <si>
    <t>The Heart and the Chip: Our Bright Future with Robots</t>
  </si>
  <si>
    <t>Daniela Rus and Gregory Mone</t>
  </si>
  <si>
    <t>Principles: human-centric design, ethical deployment, transparency, inclusivity, sustainability; Values: innovation, societal well-being, ethical responsibility, adaptability</t>
  </si>
  <si>
    <t>Beijing Academy of Artificial Intelligence (BAAI)</t>
  </si>
  <si>
    <t>Principles: do good, for humanity, be responsible, control risks, be ethical, be diverse and inclusive, open and share, use wisely and properly; Values: human privacy, dignity, freedom, autonomy, rights, fairness, transparency, explainability, predictability, traceability, accountability</t>
  </si>
  <si>
    <t>Rise of the Robots</t>
  </si>
  <si>
    <t>Martin Ford</t>
  </si>
  <si>
    <t>Principles: accountability, transparency, fairness, privacy, security, inclusivity, sustainability, human-centric design, explainability, ethical deployment; Values: trustworthiness, societal well-being, respect for human rights, fairness, privacy, data protection, inclusivity, environmental sustainability</t>
  </si>
  <si>
    <t>Japan's AI Principles</t>
  </si>
  <si>
    <t>Ministry of Economy, Trade and Industry (METI)</t>
  </si>
  <si>
    <t>Principles: dignity, diversity, inclusion, sustainability, transparency, risk-assessment, safety, fairness; Values: human privacy, dignity, freedom, autonomy, rights, fairness, transparency, explainability, predictability, traceability, accountability</t>
  </si>
  <si>
    <t>AI and Privacy</t>
  </si>
  <si>
    <t>Norwegian Data Protection Authority (Datatilsynet)</t>
  </si>
  <si>
    <t>Principles: fairness and discrimination, purpose limitation, data minimization, transparency, right to information; Values: privacy, accountability, ethical responsibility, inclusivity</t>
  </si>
  <si>
    <t>Influence</t>
  </si>
  <si>
    <t>Sectoral Impact</t>
  </si>
  <si>
    <t>Alignment with Global Standards</t>
  </si>
  <si>
    <t>Recencey</t>
  </si>
  <si>
    <t>Interative Refinement</t>
  </si>
  <si>
    <t>Syntehsize Insights</t>
  </si>
  <si>
    <t>South Korea's AI Framework Act</t>
  </si>
  <si>
    <t>European Ethical Charter on the Use of Artificial Intelligence in Judicial Systems</t>
  </si>
  <si>
    <t>European Commission for the Efficiency of Justice (CEPEJ), Council of Europe</t>
  </si>
  <si>
    <t>Principles: security, transparency, impartiality, fairness, under user control; Values: respect of fundamental rights, non-discrimination, quality</t>
  </si>
  <si>
    <t>Ethical Framework for a Good AI Society</t>
  </si>
  <si>
    <t>Principles: beneficence, non-maleficence, autonomy, justice, explicability; Values: human dignity, fairness, transparency, accountability, sustainability</t>
  </si>
  <si>
    <t>Code of Ethics for Artificial Intelligence</t>
  </si>
  <si>
    <t>Alliance for Artificial Intelligence (A-AI), Russia</t>
  </si>
  <si>
    <t>Principles: legal compliance, responsibility and accountability, transparency, safety and security, continuous improvement; Values: human-centered approach, respect for autonomy, non-discrimination, risk and humanitarian impact assessment</t>
  </si>
  <si>
    <t>Principles: bold innovation, responsibility, collaborative progress; Values: user safety, security, privacy, ethical AI use</t>
  </si>
  <si>
    <t>Ethical Governance of Artificial Intelligence</t>
  </si>
  <si>
    <t>Tsinghua University AI Institute</t>
  </si>
  <si>
    <t>Principles: ethical governance of artificial intelligence, global AI governance frameworks, AI governance ethics; Values: fairness, justice, security, privacy, inclusivity, shared responsibility, openness, collaboration</t>
  </si>
  <si>
    <t>Principles: labor and automation, bias and inclusion, rights and liberties, ethics and governance; Values: fairness, transparency, accountability, inclusivity</t>
  </si>
  <si>
    <t>Principles: human capital development, open data policy, ethical framework; Values: innovation, transparency, accountability, inclusivity</t>
  </si>
  <si>
    <t>Artificial Intelligence Act</t>
  </si>
  <si>
    <t>Principles: fairness, transparency, accountability; Values: ethical AI use, inclusivity, trustworthiness</t>
  </si>
  <si>
    <t>African Union</t>
  </si>
  <si>
    <t>Principles: local first, ethics and transparency, cooperation and integration; Values: people-centered, human rights and human dignity, peace and prosperity, inclusion and diversity</t>
  </si>
  <si>
    <t>Responsible AI Principles</t>
  </si>
  <si>
    <t>Amazon Web Services (AWS)</t>
  </si>
  <si>
    <t>Principles: fairness, explainability, privacy and security, safety, controllability, veracity and robustness, governance, transparency; Values: ethical AI use, accountability, inclusivity, trustworthiness</t>
  </si>
  <si>
    <t>Ethics Commission Report on Automated and Connected Driving</t>
  </si>
  <si>
    <t>Federal Ministry for Digital and Transport (BMDV), Germany</t>
  </si>
  <si>
    <t>Principles: safety and risk reduction, human autonomy and control, ethical decision-making in dilemma situations, privacy and data protection, responsibility and liability; Values: fairness, accountability, transparency, ethical responsibility</t>
  </si>
  <si>
    <t>Center for Democracy and Technology (CDT)</t>
  </si>
  <si>
    <t>Principles: AI governance, transparency, human rights, democratic values, public interest expertise, innovation, liability; Values: accountability, inclusivity, ethical responsibility, trustworthiness</t>
  </si>
  <si>
    <t>Principles: automated decision-making, ethical design practices, interactive self-assessment; Values: fairness, accountability, disparate impacts, transparency, trust</t>
  </si>
  <si>
    <t>Monetary Authority of Singapore (MAS)</t>
  </si>
  <si>
    <t>FEAT Principles</t>
  </si>
  <si>
    <t>Principles: fairness, accountability, transparency; Values: ethical AI use, trust, responsibility</t>
  </si>
  <si>
    <t>Principles: fairness, ethics, accountability, transparency, justifiability, accuracy, bias minimization; Values: ethical AI use, trust, responsibility, internal accountability, proactive governance</t>
  </si>
  <si>
    <t>Principles: research goal, research funding, science-policy link, research culture, race avoidance, safety, failure transparency, judicial transparency, responsibility, value alignment, human values, personal privacy, liberty and privacy, shared benefit, shared prosperity, human control, non-subversion, AI arms race, capability caution, importance, risks, recursive self-improvement, common good</t>
  </si>
  <si>
    <t>Principles: well-being, respect for autonomy, protection of privacy and intimacy, solidarity, democratic participation, equity, diversity and inclusion, prudence, responsibility, sustainable development</t>
  </si>
  <si>
    <t>Principles: transparency, accountability, fairness, security, safety, human dignity, well-being, non-discrimination, justice; Values: ethical responsibility, inclusivity, societal trust, human-centric development</t>
  </si>
  <si>
    <t>Principles: human-centered approach, inclusive deliberation, ethical considerations, proactive ethics, participatory governance, shared egalitarian future, democratic principles, justice, solidarity, defending democracy, combating socio-economic injustices; Values: European identity, ethical standards, societal values, fundamental rights</t>
  </si>
  <si>
    <t>Partnership on AI Tenets</t>
  </si>
  <si>
    <t>Principles: inclusive growth, sustainable development, well-being, human rights, democratic values, fairness, privacy, transparency, explainability, robustness, security, safety, accountability; Values: innovation, trustworthiness, respect for human rights, democratic values, non-discrimination, equality, freedom, dignity, autonomy, privacy, data protection, diversity, social justice, labour rights, environmental sustainability, responsible business conduct</t>
  </si>
  <si>
    <t>European Commission AI and Robotics Framework</t>
  </si>
  <si>
    <t>Principles: human dignity, autonomy, responsibility, justice, equality, non-discrimination, privacy, safety, transparency, accountability, democracy, rule of law; Values: human rights, ethical responsibility, fairness, security, societal well-being</t>
  </si>
  <si>
    <t>Principles: be socially beneficial, avoid creating or reinforcing unfair bias, be built and tested for safety, be accountable to people, incorporate privacy design principles, uphold high standards of scientific excellence, be made available for uses that accord with these principles; Values: fairness, transparency, accountability, privacy, scientific integrity</t>
  </si>
  <si>
    <t>European Approach to Artificial Intelligence</t>
  </si>
  <si>
    <t>Principles: fostering excellence in AI, ensuring trustworthiness, promoting human-centric AI, boosting research and industrial capacity; Values: safety, fundamental rights, innovation, collaboration, ethical AI use</t>
  </si>
  <si>
    <t>Principles: transparency, accountability, fairness, justice, privacy, sustainability, responsibility, non-maleficence; Values: ethical responsibility, inclusivity, societal trust, human-centric development</t>
  </si>
  <si>
    <t>Principles: governance, government and public services, research and development, capacity, skills and education, data infrastructure, ethics and regulation Values: inclusivity, innovation, transparency, accountability, ethical responsibility</t>
  </si>
  <si>
    <t>Task Force on the Future of Work and Education for the Digital Era (T20 Argentina)</t>
  </si>
  <si>
    <t>High-Level Expert Group on Artificial Intelligence (AI HLEG)</t>
  </si>
  <si>
    <t>Principles: human agency and oversight, technical robustness and safety, privacy and data governance, transparency, diversity, non-discrimination, fairness, societal and environmental well-being, accountability</t>
  </si>
  <si>
    <t>Center for AI and Digital Policy (CAIDP)</t>
  </si>
  <si>
    <t>Principles: transparency, accountability, human control, do no harm; Values: ethical responsibility, fairness, societal trust, human-centric development</t>
  </si>
  <si>
    <t>Amnesty International AI Principles</t>
  </si>
  <si>
    <t>Chile Ethical Artificial Intelligence</t>
  </si>
  <si>
    <t>Chile's Ministry of Science, Technology, Knowledge, and Innovation</t>
  </si>
  <si>
    <t>Principles: do good, for humanity, be responsible, control risks, be ethical, be diverse and inclusive, open and share, use wisely and properly, informed consent, education and training, optimizing employment, harmony and cooperation, adaptation and moderation, subdivision and implementation, long-term planning Values: societal well-being, ethical responsibility, inclusivity, collaboration, sustainability</t>
  </si>
  <si>
    <t>China's Ministry of Science and Technology</t>
  </si>
  <si>
    <r>
      <t>Principles</t>
    </r>
    <r>
      <rPr>
        <sz val="11"/>
        <color theme="1"/>
        <rFont val="Calibri"/>
        <family val="2"/>
        <scheme val="minor"/>
      </rPr>
      <t>: harmony and friendliness, fairness and justice, inclusivity and sharing, respect for privacy, safety and controllability, shared responsibility, open collaboration, agile governance Values: societal trust, ethical responsibility, inclusivity, collaboration, sustainability</t>
    </r>
  </si>
  <si>
    <t>Principles: respect for fundamental rights, non-discrimination, quality and security, transparency, impartiality and fairness, under user control Values: ethical responsibility, justice, inclusivity, societal trust, accountability</t>
  </si>
  <si>
    <t>Cédric Villani, French Parliament</t>
  </si>
  <si>
    <t>Principles: transparency, fairness, responsibility, privacy, inclusivity, sustainability, human oversight Values: ethical responsibility, societal trust, equity, collaboration, long-term vision</t>
  </si>
  <si>
    <t>Principles: inclusive growth, sustainable development and well-being, human rights and democratic values, transparency and explainability, robustness, security and safety, accountability Values: ethical responsibility, societal trust, inclusivity, fairness, sustainability</t>
  </si>
  <si>
    <t>Germany AI Strategy</t>
  </si>
  <si>
    <t>German Federal Government</t>
  </si>
  <si>
    <t>Principles: competitiveness, responsibility, integration, technology leadership, responsible AI development, environmental and climate protection, societal dialogue, European AI ecosystem Values: innovation, sustainability, ethical responsibility, collaboration, inclusivity</t>
  </si>
  <si>
    <t>National Strategy for Artificial Intelligence (#AIforAll)</t>
  </si>
  <si>
    <t>NITI Aayog, India</t>
  </si>
  <si>
    <t>Responsible AI: AI for All Approach Document</t>
  </si>
  <si>
    <t>Principles: Leveraging AI for economic growth and inclusivity, ethical AI development and use, promoting data privacy and security, mitigating biases and ensuring fairness, fostering innovation in targeted sectors such as healthcare, agriculture, education, smart cities, and mobility. Values: Innovation, inclusivity, societal benefit, economic empowerment, ethical responsibility.</t>
  </si>
  <si>
    <t>Principles: Inclusivity, transparency, accountability, privacy safeguards, ethical and responsible AI use, ensuring societal trust, mitigating biases and discrimination, securing informed consent, data minimization and purpose limitation, accuracy and security in data handling, and equitable AI access. Values: Ethical responsibility, fairness, societal trust, equity, innovation, and human-centric AI design.</t>
  </si>
  <si>
    <t>G20 (via OECD AI)</t>
  </si>
  <si>
    <t>Principles: Inclusive growth, sustainable development, well-being, human-centered values, fairness, transparency, explainability, robustness, security, safety, accountability. Values: Human rights, democratic values, privacy, data protection, non-discrimination, equality, diversity, social justice.</t>
  </si>
  <si>
    <t>Principles: Fairness, transparency and explainability, human-centric, privacy and security by design. Values: Fairness, transparency, human-centricity, privacy, security.</t>
  </si>
  <si>
    <t>Principles: Responsible and value-centric, human-centric, rights-respecting, control, accountability, safety and security, transparency and explainability, fairness and equality, continuous review and dialogue. Values: Responsibility, human dignity, human rights, accountability, safety, transparency, fairness, continuous improvement.</t>
  </si>
  <si>
    <t>Principles: Human dignity, human rights, fundamental freedoms, benefit and harm, autonomy, justice, responsibility. Values: Human dignity, human rights, fundamental freedoms, well-being, autonomy, justice, responsibility.</t>
  </si>
  <si>
    <t>Principles: Research goal, research funding, science-policy link, research culture, race avoidance, safety, failure transparency, judicial transparency, responsibility, value alignment, human values, personal privacy, liberty and privacy, shared benefit, shared prosperity, human control, non-subversion, AI arms race, capability caution, importance, risks, recursive self-improvement, common good. Values: Beneficial intelligence, safety, transparency, responsibility, human dignity, shared prosperity, global well-being.</t>
  </si>
  <si>
    <t>Principles: Human rights, well-being, accountability, transparency, awareness of misuse, competence. Values: Human rights, well-being, accountability, transparency, awareness of misuse, competence.</t>
  </si>
  <si>
    <t>Access Now</t>
  </si>
  <si>
    <t>Everyday Ethics for Artificial Intelligence</t>
  </si>
  <si>
    <t>Principles: Accountability, value alignment, explainability, fairness, user data rights. Values: Ethical responsibility, transparency, inclusivity, privacy, trust.</t>
  </si>
  <si>
    <t>Principles: Fairness, reliability and safety, privacy and security, inclusiveness, transparency, accountability. Values: Trust, ethical responsibility, accessibility, equity, security, human oversight.</t>
  </si>
  <si>
    <t>Responsible AI Principles
Responsible AI Transparency Report 2024</t>
  </si>
  <si>
    <t>Principles: Adaptability, continuous learning, human-AI collaboration, ethical deployment, workforce transformation. Values: Innovation, responsibility, inclusivity, transparency, resilience.</t>
  </si>
  <si>
    <t>The New York Times Embraces AI</t>
  </si>
  <si>
    <t>Principles for Using Generative A․I․ in The Times’s Newsroom</t>
  </si>
  <si>
    <t>Principles: Transparency, ethical use, human oversight, accountability, factual accuracy, risk mitigation. Values: Trust, journalistic integrity, responsibility, transparency, human judgment.</t>
  </si>
  <si>
    <t>Principles: Efficiency, human oversight, ethical use, transparency, editorial integrity, accuracy. Values: Trust, journalistic responsibility, innovation, transparency, human judgment.</t>
  </si>
  <si>
    <t>Principles: Public engagement, ethical AI development, safety and control, economic and workforce considerations, international collaboration. Values: Transparency, accountability, inclusivity, security, fairness.</t>
  </si>
  <si>
    <t>Korean Information Society Development Institute (KISDI)</t>
  </si>
  <si>
    <t>Principles: Fairness, transparency, explainability, robustness, security, safety, accountability. Values: Inclusive growth, sustainable development, well-being, human-centered values.</t>
  </si>
  <si>
    <t>https://op.europa.eu/en/publication-detail/-/publication/dfebe62e-4ce9-11e8-be1d-01aa75ed71a1?form=MG0AV3
https://www.unapcict.org/sites/default/files/2019-01/EC_AI-%20Robotics-%20and%20Autonomous%20Systems.pdf?form=MG0AV4</t>
  </si>
  <si>
    <t>Google Deep Minds</t>
  </si>
  <si>
    <t>Portugal</t>
  </si>
  <si>
    <t>Denmark</t>
  </si>
  <si>
    <t>Australia's AI Ethics Principles</t>
  </si>
  <si>
    <t>European Commission for the Efficiency of Justice (CEPEJ), under the Council of Europe.</t>
  </si>
  <si>
    <t>Principles: equity, inclusivity, quality education, lifelong learning, innovation, collaboration; Values: equity, lifelong learning, innovation, inclusivity, collaboration</t>
  </si>
  <si>
    <t>Chile's Ethical Artificial Intelligence Framework</t>
  </si>
  <si>
    <t>Principles: proportionality, security, fairness, non-discrimination, gender equality, accessibility, sustainability, privacy and data protection; Values: fairness, accessibility, sustainability, gender equality, proportionality</t>
  </si>
  <si>
    <t>Education and Research</t>
  </si>
  <si>
    <t>Principles: well-being, autonomy, justice, privacy, knowledge, democracy, responsibility, sustainability, solidarity, caution; Values: ethical responsibility, inclusivity, societal trust, sustainability, collaboration</t>
  </si>
  <si>
    <t>Principled Artificial Intelligence</t>
  </si>
  <si>
    <t>Berkman Klein Center for Internet &amp; Society, Harvard University</t>
  </si>
  <si>
    <t>Principles: Beneficial AI, ethics and values, longer-term issues; Values: Human well-being, fairness, transparency, accountability, safety</t>
  </si>
  <si>
    <t>United Nations Educational, Scientific and Cultural Organization (UNESCO)</t>
  </si>
  <si>
    <t>Microsoft's Six Principles for Facial Recognition Work</t>
  </si>
  <si>
    <t>Human-Centric AI Principles</t>
  </si>
  <si>
    <t>Council for Science, Technology and Innovation, Japan</t>
  </si>
  <si>
    <t>Principles: Human-centric approach, education and literacy, privacy protection, security, fairness, accountability, transparency, inclusivity, sustainability, collaboration; Values: Human dignity, privacy, security, fairness, accountability, transparency, inclusivity, sustainability, collaboration</t>
  </si>
  <si>
    <t>Tencent's Responsible AI Principles</t>
  </si>
  <si>
    <t>Principles: fairness, transparency, accountability, security, inclusiveness, sustainability; Values: ethical responsibility, societal trust, innovation, collaboration, environmental stewardship</t>
  </si>
  <si>
    <t>UPC (Universitat Politècnica de Catalunya)</t>
  </si>
  <si>
    <t>Principles: transparency, fairness, responsibility, privacy, inclusivity, sustainability, human oversight; Values: ethical responsibility, societal trust, equity, collaboration, long-term vision</t>
  </si>
  <si>
    <t>Indigenous Perspectives in AI</t>
  </si>
  <si>
    <t xml:space="preserve">Kathleen Sandusky
CIFAR
</t>
  </si>
  <si>
    <t>Principles: Holistic thinking, relational AI, community engagement, reciprocity, cultural sovereignty, Indigenous data governance, environmental stewardship, interdisciplinary collaboration, knowledge integration, epistemic plurality; Values: Interdependence, respect, sustainability, sovereignty, inclusivity, regeneration, ethical responsibility, equity</t>
  </si>
  <si>
    <t xml:space="preserve">CIFAR Canadian Institute for Advanced Research </t>
  </si>
  <si>
    <t>Principles for Ethical AI</t>
  </si>
  <si>
    <t>Harvard Data Science Review</t>
  </si>
  <si>
    <t>Principles: Beneficence, non-maleficence, autonomy, justice, explicability; Values: Well-being, safety, individual rights, fairness, transparency, accountability</t>
  </si>
  <si>
    <t>For a Meaningful Artificial Intelligence: Towards a French and European Strategy</t>
  </si>
  <si>
    <t xml:space="preserve"> For a Meaningful Artificial Intelligence: Towards a French and European Strategy</t>
  </si>
  <si>
    <t>Responsible AI Principles and Practices</t>
  </si>
  <si>
    <t>Adobe Inc.</t>
  </si>
  <si>
    <t>Principles: accountability, responsibility, transparency; Values: ethical responsibility, inclusivity, societal trust, innovation, fairness</t>
  </si>
  <si>
    <t>Adobe's AI Ethics Principles</t>
  </si>
  <si>
    <t>Artificial Intelligence Research Programme</t>
  </si>
  <si>
    <t>The Alan Turing Institute</t>
  </si>
  <si>
    <t>Principles: safe and ethical AI, human-AI interfaces and robotics, multi-agent systems; Values: innovation, ethical responsibility, collaboration, inclusivity</t>
  </si>
  <si>
    <t>Artificial Intelligence Research Program</t>
  </si>
  <si>
    <t>Principles: fairness, transparency, accountability, privacy, security; Values: societal impact, ethical AI, human oversight, sustainability, inclusivity</t>
  </si>
  <si>
    <t>Alibaba Group</t>
  </si>
  <si>
    <t>AI for Good: Alibaba's Vision for Tackling Global Challenges</t>
  </si>
  <si>
    <t>AI Policy and Governance</t>
  </si>
  <si>
    <t xml:space="preserve">AI Policy and Governance
</t>
  </si>
  <si>
    <t>CDT Europe's AI Bulletin - February 2025</t>
  </si>
  <si>
    <t>Principles: economic growth, public service enhancement, infrastructure development, talent and research; Values: innovation, societal well-being, inclusivity, sustainability</t>
  </si>
  <si>
    <t>AI Opportunity Action Plan</t>
  </si>
  <si>
    <t>New Artificial Intelligence Legislation in Mexico</t>
  </si>
  <si>
    <t>Mexican Congress</t>
  </si>
  <si>
    <t>Principles: fostering responsible innovation, protecting human rights, ensuring privacy and data protection, promoting ethical AI use, addressing socio-economic challenges, advancing technological sovereignty; Values: inclusivity, sustainability, societal trust, collaboration, fairness</t>
  </si>
  <si>
    <t>Artificial Intelligence Policy Priorities</t>
  </si>
  <si>
    <t>U.S. Senate (Senator Martin Heinrich)</t>
  </si>
  <si>
    <t>Principles: artificial intelligence initiative act, national strategy for AI leadership, AI policy roadmap, AI regulation, AI ethics, AI research funding, workforce development, AI safety and security; Values: innovation, accountability, ethical responsibility, inclusivity, societal trust</t>
  </si>
  <si>
    <t>University of Toronto AI Research Initiatives</t>
  </si>
  <si>
    <t>Principles: fairness, accountability, transparency, privacy, human-centered AI, robustness, safety; Values: ethical responsibility, societal trust, innovation, human-centric development</t>
  </si>
  <si>
    <t>German AI Strategy (Updated Version)</t>
  </si>
  <si>
    <t>Federal Government of Germany</t>
  </si>
  <si>
    <t>Principles: human-centered development, research and innovation, AI ecosystems, transfer and application, regulatory framework, societal dialogue; Values: inclusivity, sustainability, societal trust, collaboration, innovation</t>
  </si>
  <si>
    <t>Scotland’s AI Strategy: Trustworthy, Ethical, and Inclusive</t>
  </si>
  <si>
    <t>Scottish Government</t>
  </si>
  <si>
    <t>Scotland's AI Strategy: Trustworthy, Ethical, and Inclusive</t>
  </si>
  <si>
    <t>DeepMind Ethics &amp; Society</t>
  </si>
  <si>
    <t>Deep Minds</t>
  </si>
  <si>
    <t>Principles: privacy, transparency, fairness, economic and social impacts, governance, accountability; Values: managing AI risk, AI morality and values, addressing global challenges</t>
  </si>
  <si>
    <t>Australian Government, Department of Industry, Science and Resources</t>
  </si>
  <si>
    <t>Principles: human, social, and environmental wellbeing; human-centered values; fairness; privacy protection and security; reliability and safety; transparency and explainability; contestability; accountability; Values: inclusivity, ethical responsibility, societal trust, sustainability</t>
  </si>
  <si>
    <t>Austalia's AI Ethics Principles</t>
  </si>
  <si>
    <t>Baidu's AI Ethics Principles</t>
  </si>
  <si>
    <t>Baidu Inc.</t>
  </si>
  <si>
    <t>Principles: safe and controllable, promote equal access to technology, empower human learning and growth; Values: bring more freedom and possibilities to humankind</t>
  </si>
  <si>
    <t>Brazilian Artificial Intelligence Strategy (EBIA)</t>
  </si>
  <si>
    <t>Principles: inclusive growth, sustainable development, and well-being; human-centered values and equity; transparency and responsible disclosure; robustness, security, and safety; accountability; Values: innovation, inclusivity, societal trust, ethical responsibility</t>
  </si>
  <si>
    <t>What Buddhism Can Do for AI Ethics</t>
  </si>
  <si>
    <t>MIT Technology Review</t>
  </si>
  <si>
    <t>Principles: nonviolence, alleviation of suffering, interdependence, mindfulness, ethical intent; Values: compassion, ethical responsibility, societal well-being, harmony</t>
  </si>
  <si>
    <t>Directive on Automated Decision-Making</t>
  </si>
  <si>
    <t>Principles: transparency, accountability, legality, procedural fairness; Values: ethical responsibility, societal trust, inclusivity, fairness</t>
  </si>
  <si>
    <t>Sony Group</t>
  </si>
  <si>
    <t>Principles: fairness, privacy, data governance, transparency; Values: fairness, privacy, transparency, accountability</t>
  </si>
  <si>
    <t>Ministry of Science, Technology, Knowledge, and Innovation, Chile</t>
  </si>
  <si>
    <t>Principles: proportionality, security, fairness, non-discrimination, gender equality, accessibility, sustainability, privacy, and data protection; Values: ethical responsibility, equity, inclusivity, societal well-being</t>
  </si>
  <si>
    <t>Ethical Norms for New Generation Artificial Intelligence</t>
  </si>
  <si>
    <t>Ministry of Science and Technology, China</t>
  </si>
  <si>
    <t>Principles: innovation, harmony, fairness, justice, security, privacy, inclusivity, shared responsibility, openness, collaboration; Values: ethical responsibility, societal trust, inclusivity, sustainability</t>
  </si>
  <si>
    <t>China's Emerging Approach to Regulating General-Purpose Artificial Intelligence</t>
  </si>
  <si>
    <t>Principles: Alignment with Core Socialist Values, content labeling, data sovereignty, algorithmic accountability, public-private collaboration, international competitiveness; Values: National security, social stability, ethical AI development, innovation, transparency</t>
  </si>
  <si>
    <t>Principles: safety, helpfulness, harmlessness, honesty, fairness, transparency, respect for autonomy, protection of vulnerable individuals, refusal of illegal content, accuracy, clarity, responsibility; Values: human wellbeing, knowledge sharing, truthfulness, privacy, inclusivity, balance, thoughtfulness, respect, responsibility, intellectual exploration, human-AI collaboration; Morals: do no harm, respect autonomy, protect children and vulnerable individuals, refuse to create dangerous content, maintain intellectual honesty, support human flourishing, avoid manipulation, avoid reinforcing harmful biases; Ethics: beneficence, non-maleficence, transparency in limitations, respect for human dignity, fairness across diverse users, protection of privacy, refusal to create harmful content, promotion of human autonomy, avoidance of deception</t>
  </si>
  <si>
    <t>Aligning Artificial Intelligence and Climate Governance</t>
  </si>
  <si>
    <t>United Nations University (UNU)</t>
  </si>
  <si>
    <t>Principles: environmental sustainability, responsible AI development, energy efficiency, transparency, interdisciplinary collaboration; Values: ecological preservation, ethical responsibility, innovation, accountability, global cooperation</t>
  </si>
  <si>
    <t>AI and Sustainability: Opportunities, Challenges, and Impact</t>
  </si>
  <si>
    <t>EY (Ernst &amp; Young)</t>
  </si>
  <si>
    <t>Artificial Intelligence and Climate Change</t>
  </si>
  <si>
    <t>Heinrich Böll Stiftung</t>
  </si>
  <si>
    <t>Confucian Ethics and Artificial Intelligence</t>
  </si>
  <si>
    <t>Institute of Philosophy, Chinese Academy of Sciences (CASIP)</t>
  </si>
  <si>
    <t>Principles: benevolence, righteousness, propriety, wisdom, fidelity, relationality, harmony, moral cultivation; Values: ethical responsibility, societal harmony, relational integrity, moral wisdom</t>
  </si>
  <si>
    <t>Name: Council of Europe’s Guidelines on Artificial Intelligence and Human Rights</t>
  </si>
  <si>
    <t>Principles: human rights protection, democratic integrity, rule of law, equality and non-discrimination, privacy and data protection, transparency and oversight, accountability and responsibility, safe innovation, legal compliance, promotion of human rights, democratic governance; Values: ethical responsibility, societal trust, inclusivity, fairness</t>
  </si>
  <si>
    <t>Trustworthy AI Framework</t>
  </si>
  <si>
    <t>Department of Veterans Affairs (VA), United States</t>
  </si>
  <si>
    <t>Principles: purposeful, effective and safe, secure and private, fair and equitable, transparent and explainable, accountable and monitored; Values: trust, responsibility, transparency, equity, safety</t>
  </si>
  <si>
    <t>DoD Ethical Principles for Artificial Intelligence</t>
  </si>
  <si>
    <t>Principles: responsibility, equitable, traceable, reliable, governable; Values: ethical responsibility, fairness, transparency, accountability, safety</t>
  </si>
  <si>
    <t>The Ethical and Moral Implications of Artificial Intelligence</t>
  </si>
  <si>
    <t>Allistene (Cerna Ethics Commission on Digital Technology and AI)</t>
  </si>
  <si>
    <t>Principles and Values: addressing the moral and ethical implications of AI; establishing robust regulatory and governance frameworks; tackling technological challenges and leveraging opportunities; fostering ethical AI design; promoting international cooperation on AI standards to ensure fairness, accountability, and shared global benefits</t>
  </si>
  <si>
    <t>European Institute for Science, Media, and Democracy (EISMD)</t>
  </si>
  <si>
    <t>Principles: beneficence, non-maleficence, authonomy, justice, explicability; Values: human dignity, fairness, transparency, accountability, sustainability</t>
  </si>
  <si>
    <t>Ethical Framework for a Good AI Society (PDF)</t>
  </si>
  <si>
    <t>Artificial Intelligence Act (AI Act)</t>
  </si>
  <si>
    <t>Principles: fairness, transparency, accountability, risk-based classification, unacceptable risk, high risk, limited risk, minimal risk, governance and enforcement, conformity assessments; Values: global influence, ethical AI governance, trustworthiness, safety</t>
  </si>
  <si>
    <t>FEAT Principles (Fairness, Ethics, Accountability, Transparency)</t>
  </si>
  <si>
    <t>Guidelines on Artificial Intelligence for the Confederation</t>
  </si>
  <si>
    <r>
      <t>Principles:</t>
    </r>
    <r>
      <rPr>
        <sz val="11"/>
        <color theme="1"/>
        <rFont val="Calibri"/>
        <family val="2"/>
        <scheme val="minor"/>
      </rPr>
      <t xml:space="preserve"> putting people first, regulatory conditions, transparency, traceability, and explainability, accountability, safety, active global AI governance, involving stakeholders, monitoring and continuous development; Values: ethical responsibility, inclusivity, trust, safety, proactive governance</t>
    </r>
  </si>
  <si>
    <t>Evolving with innovation: The 2024 OECD AI Principles Update</t>
  </si>
  <si>
    <t>Principles: safety, privacy, intellectual property rights, information integrity, fairness, transparency, accountability, environmental sustainability, interoperability, proactive governance; Values: trustworthiness, ethical AI governance, global cooperation, inclusivity, sustainability</t>
  </si>
  <si>
    <t>Evolving with Innovation: The 2024 OECD AI Principles Update</t>
  </si>
  <si>
    <t>Ethics of Artificial Intelligence</t>
  </si>
  <si>
    <t>Principles: responsible AI development, fairness, transparency, accountability, minimization of bias, privacy and consent, ethical integration of AI in society; Values: societal trust, ethical responsibility, inclusivity, safety, fairness</t>
  </si>
  <si>
    <t>AI Ethics: Principles, Frameworks &amp; Governance</t>
  </si>
  <si>
    <t>Cimphony AI</t>
  </si>
  <si>
    <t>Principles: fairness, transparency, human control, doing good, avoiding harm, bias minimization, explainability, data protection; Values: ethical responsibility, societal trust, inclusivity, fairness, safety</t>
  </si>
  <si>
    <t>2025 and the Next Chapters of AI</t>
  </si>
  <si>
    <t>The Ethics of Advanced AI Assistants</t>
  </si>
  <si>
    <t>Google DeepMind</t>
  </si>
  <si>
    <t>Principles: safety, fairness, transparency, value alignment, risk mitigation, minimization of harm, addressing misuse and misinformation, ethical integration into society; Values: trust, ethical responsibility, inclusivity, safety, proactive governance</t>
  </si>
  <si>
    <t>The Ethics of Advanced AI Assisstants</t>
  </si>
  <si>
    <t>Principles: trust, safety, transparency, fairness, proactive governance, ethical integration, addressing unintended consequences, fostering innovation responsibly; Values: inclusivity, ethical responsibility, societal trust, sustainability, collaboration</t>
  </si>
  <si>
    <t>Building AI That Benefits Humanity</t>
  </si>
  <si>
    <t>Principles: safety, fairness, transparency, inclusivity, collaboration, ethical integration, addressing unintended consequences, fostering innovation responsibly; Values: trustworthiness, ethical responsibility, societal benefit, inclusivity, sustainability</t>
  </si>
  <si>
    <t>Building AI that Benefits Humanity</t>
  </si>
  <si>
    <t>5 Trends for 2025</t>
  </si>
  <si>
    <t>IBM Institute for Business Value (IBM IBV)</t>
  </si>
  <si>
    <t>Principles: innovation through generative AI, agentic AI for autonomous decision-making, balancing agility and security, fostering digital transformation, addressing infrastructure challenges; Values: trust, resilience, adaptability, collaboration, responsible AI deployment</t>
  </si>
  <si>
    <t>Principles: transparency, accountability, innovation, fostering research collaboration; Values: societal well-being, inclusivity, human-centric development, environmental sustainability</t>
  </si>
  <si>
    <t>France AI Strategy Report (PDF)</t>
  </si>
  <si>
    <t>Global Solutions Initiative</t>
  </si>
  <si>
    <t>G20 2017 Task Force Report</t>
  </si>
  <si>
    <t>Principles: resilience, sustainability, responsibility, integrity, inclusiveness; Values: ethical global governance, collaboration, societal well-being, environmental stewardship</t>
  </si>
  <si>
    <t>G20 2017 Task Force Report Germany</t>
  </si>
  <si>
    <t>The Future of Work and Education for the Digital Age</t>
  </si>
  <si>
    <t>Think20 (T20) Japan</t>
  </si>
  <si>
    <t>Principles: inclusivity, equal opportunity, lifelong learning, financial literacy, data security; Values: societal well-being, ethical responsibility, adaptability, collaboration, innovation</t>
  </si>
  <si>
    <t>Principles: transformation, technological innovation, inclusive growth, sustainable development, well-being, human-centered values and equity, transparency and responsible disclosure, robustness, security, safety, accountability; Values: societal well-being, ethical responsibility, global cooperation, equitable development</t>
  </si>
  <si>
    <t>G20 Ministerial Statement on Trade and Digital Economy</t>
  </si>
  <si>
    <t>Principles: inclusive growth, sustainable development, well-being, human-centered values, fairness, transparency, explainability, robustness, security, safety, accountability, addressing mis- and disinformation, safeguarding information integrity, responsible business conduct, environmental sustainability; Values: human rights, democratic values, privacy, data protection, non-discrimination, equality, diversity, social justice, ethical responsibility, global interoperability</t>
  </si>
  <si>
    <t>OECD Updates AI Principles to Stay Abreast of Rapid Technological Developments</t>
  </si>
  <si>
    <t>Principles: lawfulness, fairness, transparency, purpose limitation, data minimization, accuracy, storage limitation, integrity, confidentiality, accountability; Values: privacy, data protection, individual rights, fairness, transparency, security, trust, autonomy</t>
  </si>
  <si>
    <t>Genderal Data Protection Regulation (GDPR)</t>
  </si>
  <si>
    <t>Principles: lawfulness, fairness, transparency, purpose limitation, data minimization, accuracy, storage limitation, integrity, confidentiality, accountability, AI ethics, sustainability; Values: privacy, data protection, individual rights, fairness, transparency, security, trust, autonomy, ethical AI use, environmental responsibility</t>
  </si>
  <si>
    <t>General Data Protection Regulation (GDPR) - 2024 Update</t>
  </si>
  <si>
    <t>Generative AI Ethics</t>
  </si>
  <si>
    <t>Markkula Center for Applied Ethics, Santa Clara University</t>
  </si>
  <si>
    <t>Principles: transparency and disclosure, accuracy and fact-checking, bias awareness, intellectual property rights, academic integrity, environmental impact, clear communications about the origin of content for generative AI, decision-making process; Values: transparency, accountability, ethical responsibility, trust, sustainability</t>
  </si>
  <si>
    <t>DIN (Deutsches Institut für Normung e.V.)</t>
  </si>
  <si>
    <t>Principles: human-centered AI, fairness, transparency, accountability, security, safety, testing, certification, sociotechnical systems; Values: ethical responsibility, societal trust, inclusivity, innovation, sustainability</t>
  </si>
  <si>
    <t>German Standardization Roadmap on Artificial Intelligence 2nd Edition</t>
  </si>
  <si>
    <t>German Standardization Roadmap on Artificial Intelligence</t>
  </si>
  <si>
    <t>Government-Wide Vision on Generative AI of the Netherlands</t>
  </si>
  <si>
    <t>Government of the Netherlands</t>
  </si>
  <si>
    <t>Principles: human-centered approach, transparency, fairness and justice, accountability, sustainability, privacy and security, democratic participation, human oversight, AI governance framework, support for innovation, education and training, regulation and legal frameworks, global leadership and collaboration, AI risk assessment and management, transparency and public awareness; Values: ethical responsibility, societal trust, inclusivity, sustainability, innovation, democratic engagement</t>
  </si>
  <si>
    <t>Government wide vision on generative AI of the Netherlands</t>
  </si>
  <si>
    <t>Hiroshima Process International Code of Conduct for Organizations Developing Advanced AI Systems</t>
  </si>
  <si>
    <t>Ministry of Foreign Affairs, Japan</t>
  </si>
  <si>
    <t>Principles: risk mitigation, vulnerability identification and reporting, transparency, information sharing, AI governance and risk management, security controls, content authentication, research investment, global challenges, international standards, data protection; Values: ethical responsibility, global cooperation, security, trust</t>
  </si>
  <si>
    <t>Hiroshima Process International Code of Conuct for Organizations Developing Advanced AI Systems</t>
  </si>
  <si>
    <t>United Nations Office of the High Commissioner for Human Rights (OHCHR)</t>
  </si>
  <si>
    <r>
      <t>Principles:</t>
    </r>
    <r>
      <rPr>
        <sz val="11"/>
        <color theme="1"/>
        <rFont val="Calibri"/>
        <family val="2"/>
        <scheme val="minor"/>
      </rPr>
      <t xml:space="preserve"> state duty to protect human rights, corporate responsibility to respect human rights, access to remedy; </t>
    </r>
    <r>
      <rPr>
        <b/>
        <sz val="11"/>
        <color theme="1"/>
        <rFont val="Calibri"/>
        <family val="2"/>
        <scheme val="minor"/>
      </rPr>
      <t>Values:</t>
    </r>
    <r>
      <rPr>
        <sz val="11"/>
        <color theme="1"/>
        <rFont val="Calibri"/>
        <family val="2"/>
        <scheme val="minor"/>
      </rPr>
      <t xml:space="preserve"> human dignity, equality, justice, accountability</t>
    </r>
  </si>
  <si>
    <t>Principles: privacy, accountability, safety, security, transparency, explainability, fairness, non-discrimination, human control of technology, professional responsibility; Values: promotion of human values, privacy protection, promotion of human rights, collaboration, sustainability</t>
  </si>
  <si>
    <t>A Hindu Perspective on AI Risks and Opportunities</t>
  </si>
  <si>
    <t>Religious Organization</t>
  </si>
  <si>
    <t>Principles: enhancing human welfare, promoting global unity, preserving human autonomy, preventing bias and inequality, maintaining life purpose; Values: dharma (righteous duty), seva (selfless service), vasudhaiva kutumbakam (world as one family), purushartha (free will)</t>
  </si>
  <si>
    <t>Principles: human rights protection, democracy, rule of law, ethical AI development, transparency, accountability; Values: dignity, fairness, justice, responsibility, trust</t>
  </si>
  <si>
    <t>Human Rights and Artificial Intelligence (CDDH-IA)</t>
  </si>
  <si>
    <t>German Ethics Council (Deutscher Ethikrat)</t>
  </si>
  <si>
    <t>Principles: human authorship and responsibility, transparency, fairness, protection against bias and discrimination, privacy and security, social justice, autonomy in decision-making, ethical use across sectors; Values: ethical responsibility, societal trust, inclusivity, sustainability, human dignity</t>
  </si>
  <si>
    <t>Humans and Machines - Challenges of Artificial Intelligence</t>
  </si>
  <si>
    <t>IndiaAI - National AI Portal</t>
  </si>
  <si>
    <t xml:space="preserve">https://iisc.ac.in/about/student-corner/academic-integrity/
</t>
  </si>
  <si>
    <t>https://indiabioscience.org/news/2023/ethics-innovation-and-global-collaboration-takeaways-from-dialogue-2023</t>
  </si>
  <si>
    <t xml:space="preserve">https://connect.iisc.ac.in/2021/09/the-moral-scientist/
</t>
  </si>
  <si>
    <t>Human Rights in the Age of Artificial Intelligence</t>
  </si>
  <si>
    <t>Principles: Transparency, accountability, fairness, data protection, human rights protection, non-discrimination, human oversight, ethical AI development
Values: Human rights, equality, privacy, justice, autonomy</t>
  </si>
  <si>
    <t>Access Now AI and Human Rights Report</t>
  </si>
  <si>
    <t>AI in the UK: Ready, WIlling and Able 2019</t>
  </si>
  <si>
    <t>AI in the UK: Ready, WIlling and Able? 2018</t>
  </si>
  <si>
    <t>Bases para la Agenda Digital Argentina</t>
  </si>
  <si>
    <t>Government of Argentina</t>
  </si>
  <si>
    <t>Principles: Digital inclusion, transparency, privacy, cybersecurity, data protection, accessibility, economic development, infrastructure, digital literacy, public trust; Values: Economic growth, innovation, social equity, accessibility, digital sovereignty</t>
  </si>
  <si>
    <t>Principles: Innovation, research and development, talent development, education, ethical norms, security; Values: Global competitiveness, societal well-being, economic growth</t>
  </si>
  <si>
    <t>AIIA 2020 AI Strategy Landscape</t>
  </si>
  <si>
    <t>Argentina National AI Strategy</t>
  </si>
  <si>
    <t>Artificial Intelligence: Solving Problems, Growing the Economy, and Improving Our Quality of Life</t>
  </si>
  <si>
    <t>Commonwealth Scientific and Industrial Research Organisation (CSIRO) Data61</t>
  </si>
  <si>
    <t>Principles: Economic growth, innovation, data governance, cybersecurity, trust, workforce development, ethical AI, sustainability, interoperability, infrastructure; Values: Productivity, national competitiveness, digital inclusion, environmental responsibility, human well-being</t>
  </si>
  <si>
    <t>CSIRO Artificial Intelligence Roadmap for Australia</t>
  </si>
  <si>
    <t>Summary of the Brazilian Artificial Intelligence Strategy (EBIA)
Issuer: Ministry of Science, Technology, and Innovations (MCTI)</t>
  </si>
  <si>
    <t>Minister of Science, Technology, Innovation and Communications (MCTIC)</t>
  </si>
  <si>
    <t>Principles: Inclusive growth, sustainability, well-being, rule of law, human rights, democratic values, transparency, security, accountability, fairness, AI governance, ethical use, international cooperation; Values: Social equity, digital inclusion, innovation, workforce development, public trust, economic growth, national competitiveness</t>
  </si>
  <si>
    <t>Brazil National AI Strategy</t>
  </si>
  <si>
    <t>Annual Report of the CIFAR Pan-Canadian AI Strategy</t>
  </si>
  <si>
    <t>Canadian Institute for Advanced Research (CIFAR)</t>
  </si>
  <si>
    <t>Principles: Transparency, innovation, collaboration, research excellence, ethical AI, workforce development, societal impact, economic growth, sustainability, public-private partnership; Values: Scientific advancement, knowledge sharing, inclusivity, public trust, responsible AI deployment</t>
  </si>
  <si>
    <t>Canada National AI Strategy</t>
  </si>
  <si>
    <t>A Next Generation Artificial Intelligence Development Plan</t>
  </si>
  <si>
    <t>State Council of China</t>
  </si>
  <si>
    <t>Principles: Innovation-driven development, ethical AI, economic transformation, security, transparency, accountability, sustainability, governance, international cooperation, AI safety, workforce adaptation; Values: National competitiveness, social stability, responsible AI deployment, human-centric development, technological sovereignty</t>
  </si>
  <si>
    <t>China National AI Strategy</t>
  </si>
  <si>
    <t>EU National AI Strategy</t>
  </si>
  <si>
    <t>Coordinated Plan on Artificial Intelligence 2021 Review</t>
  </si>
  <si>
    <t>Principles: Human-centric AI, transparency, trust, security, data governance, digital sovereignty, sustainability, AI safety, innovation, fairness, accountability, inclusivity, interoperability, AI governance, collaboration; Values: Economic growth, societal well-being, environmental responsibility, competitiveness, responsible AI development, digital inclusion</t>
  </si>
  <si>
    <t>For a Meaningful Artificial Intelligence</t>
  </si>
  <si>
    <t>Cedric Villani</t>
  </si>
  <si>
    <t>For a Meaningful AI: Towars a French and European Strategy</t>
  </si>
  <si>
    <t>Artificial Intelligence Strategy</t>
  </si>
  <si>
    <t>Germany Artificial Intelligence Strategy</t>
  </si>
  <si>
    <t>Economic Affairs Ministry, the Research Ministry, and the Labour Ministry</t>
  </si>
  <si>
    <t>Principles: Innovation, transparency, security, trust, data protection, ethical AI, human-centric development, sustainability, economic growth, fairness, digital sovereignty, accountability; Values: Public trust, responsible AI deployment, social inclusion, competitiveness, knowledge sharing</t>
  </si>
  <si>
    <t>Indonesia Artificial Intelligence Society (IAIS)</t>
  </si>
  <si>
    <t>Indonesia</t>
  </si>
  <si>
    <t>National Strategy for Artificial Intelligence</t>
  </si>
  <si>
    <t>Indonesia AI Strategy</t>
  </si>
  <si>
    <t>Strategic Program on Artificial Intelligence</t>
  </si>
  <si>
    <t>Ministry of Education, University and Research, the Ministry of Economic Development and the Minister of Technological Innovation and Digital Transition</t>
  </si>
  <si>
    <t>Italy  AI Strategy</t>
  </si>
  <si>
    <t>Japan  AI Strategy</t>
  </si>
  <si>
    <t>Artificial Intelligence Technology Strategy</t>
  </si>
  <si>
    <t>Strategic Council for AI Technology, Government of Japan</t>
  </si>
  <si>
    <t>Towards an AI Strategy n Mexico: Harnessing the AI Revolution</t>
  </si>
  <si>
    <t>British Embassy in Mexico, Oxford Insights, C Minds</t>
  </si>
  <si>
    <t>Principles: Transparency, innovation, digital inclusion, AI governance, security, public trust, ethical AI, economic development, workforce adaptation, sustainability; Values: Social impact, responsible AI deployment, economic growth, competitiveness, knowledge sharing, inclusivity</t>
  </si>
  <si>
    <t>Mexico  AI Strategy</t>
  </si>
  <si>
    <t>Decree of the President of the Russian Federation on the Development of Artificial Intelligence in the Russian Federation</t>
  </si>
  <si>
    <t>Office of the President of the Russian Federation</t>
  </si>
  <si>
    <t>Russia</t>
  </si>
  <si>
    <t>Russian  AI Strategy</t>
  </si>
  <si>
    <t>National Strategy for Data &amp; AI</t>
  </si>
  <si>
    <t>Saudi Data &amp; AI Authority (SDAIA)</t>
  </si>
  <si>
    <t>Saudi Arabia</t>
  </si>
  <si>
    <t>Saudi Arabia AI Strategy</t>
  </si>
  <si>
    <t>South Korea AI Strategy</t>
  </si>
  <si>
    <t>AI for Africa Blueprint</t>
  </si>
  <si>
    <t>Smart Africa &amp; Republic of South Africa</t>
  </si>
  <si>
    <t>South Africa (Pan-African Scope)</t>
  </si>
  <si>
    <t>Turkey AI Strategy</t>
  </si>
  <si>
    <t>National Artificial Intelligence Strategy (NAIS) 2021-2025</t>
  </si>
  <si>
    <t>Turkey</t>
  </si>
  <si>
    <t>South Africa AI Strategy</t>
  </si>
  <si>
    <t>Principles: Inclusive growth, sustainable development, human-centered values, transparency, security, safety, accountability, trustworthy AI, fairness, AI governance; Values: National prosperity, technological sovereignty, economic growth, digital transformation, workforce development</t>
  </si>
  <si>
    <t>Principles: Human-centered AI, trustworthiness, sustainability, research and innovation, AI regulation, AI governance, public-private collaboration, security, digital transformation; Values: Economic growth, public trust, digital inclusion, ethical AI adoption, knowledge-sharing, responsible AI deployment</t>
  </si>
  <si>
    <t>Principles: AI-driven industrialization, research and development, international collaboration, cybersecurity, responsible AI, public-private partnerships, AI education, technological advancement, sustainability; Values: Economic progress, technological leadership, knowledge sharing, global competitiveness, ethical responsibility</t>
  </si>
  <si>
    <t>Principles: Protection of human rights and liberties, security, transparency, AI governance, responsible AI, fairness, digital transformation, innovation-driven growth, workforce development; Values: National security, technological self-reliance, economic growth, global competitiveness, public trust</t>
  </si>
  <si>
    <t>Principles: Data sovereignty, security, responsible AI, economic competitiveness, regulatory compliance, innovation, ethical AI, sustainability, governance, international leadership; Values: Knowledge-based economy, digital transformation, societal well-being, national prosperity, AI-driven economic diversification</t>
  </si>
  <si>
    <t>Principles: Human-centric AI, ethical AI, transparency, fairness, international collaboration, environmental sustainability, inclusive growth, responsible AI governance, digital infrastructure, AI sovereignty; Values: Public trust, collective progress, economic development, innovation, empowerment, social responsibility, regional integration, digital inclusion, African autonomy</t>
  </si>
  <si>
    <t>Presidency of Türkiye Digital Transformation Office (DTO), Ministry of Industry and Technology (MoIT)</t>
  </si>
  <si>
    <t>Principles: Human-oriented AI, transparency, accountability, safety and security, privacy, fairness, proportionality, explainability, data sovereignty, multi-stakeholder governance, inclusiveness, sustainability; Values: Respect for human rights, democracy and rule of law, environmental sustainability, peaceful society, diversity and inclusiveness, trustworthiness, responsibility, ethical development, public benefit, collective progress</t>
  </si>
  <si>
    <t>Ministry of Science and ICT, Republic of Korea</t>
  </si>
  <si>
    <t>Principles: Human-centered AI, transparency, accountability, safety and security, fairness, explainability, inclusiveness, sustainability, ethical AI development, AI sovereignty; Values: Innovation, collective progress, public trust, economic growth, social responsibility, digital competence, human dignity, national competitiveness</t>
  </si>
  <si>
    <t>Office for Artificial Intelligence, Government of the United Kingdom</t>
  </si>
  <si>
    <t>Principles: Human-centered AI, transparency, accountability, fairness, safety and security, inclusiveness, ethical AI, innovation, AI governance, sustainability, international collaboration; Values: Public trust, economic growth, responsible development, democratic values, human rights, global leadership, social benefit, pro-innovation, national security</t>
  </si>
  <si>
    <t>United Kingom AI Strategy</t>
  </si>
  <si>
    <t>``</t>
  </si>
  <si>
    <t>USA Biden  AI Strategy</t>
  </si>
  <si>
    <t>National Artificial Intelligence Research and Development Strategic Plan 2023 Update</t>
  </si>
  <si>
    <t>National Science and Technology Council, Select Committee on Artificial Intelligence, Office of Science and Technology Policy</t>
  </si>
  <si>
    <t xml:space="preserve">Principles: Human-AI collaboration, ethical AI, transparency, fairness, accountability, safety and security, explainability, international collaboration, responsible innovation, shared public resources; Values: Public trust, democratic values, human rights, equity, reliability, economic growth, national security, environmental sustainability, social benefit, collective progress
</t>
  </si>
  <si>
    <t>Telefonica's AI Principles</t>
  </si>
  <si>
    <t>Principles: Seamless (integrated services), efficient (optimized resource use), safe (risk anticipation and protection), personalized (enriched experiences); Values: Customer happiness, economic growth, resource and infrastructure resilience</t>
  </si>
  <si>
    <t>Principles: Equality, non-discrimination, inclusion, diversity, equity, accountability, transparency, privacy and data protection, access to effective remedy, human rights protection; Values: Inclusivity, innovation, transparency, accountability, ethical responsibility</t>
  </si>
  <si>
    <t>`</t>
  </si>
  <si>
    <t>Argentina AI Strategy</t>
  </si>
  <si>
    <t>Santiago Declaration to Promote Ethical AI in Latin America and the Caribbean</t>
  </si>
  <si>
    <t>Ethically ALigned Design: V2</t>
  </si>
  <si>
    <t>Ethical Guidelines for Trustworthy AI</t>
  </si>
  <si>
    <t>EU Ethical Charter on the use of AI in Judicial Systems</t>
  </si>
  <si>
    <t>European Ethical Charter on the use of AI in Judicial SYstems 2018</t>
  </si>
  <si>
    <t>Everyday ethics for AI</t>
  </si>
  <si>
    <t>Guiding Principles of Trust AI Ethics</t>
  </si>
  <si>
    <t>Montreal Declaration for a Responsible Development of AI</t>
  </si>
  <si>
    <t>National Strategy for AI Indian</t>
  </si>
  <si>
    <t>Harvard Principled Artificial Intelligence</t>
  </si>
  <si>
    <t>Nature Machine Intelligence​, Jobin</t>
  </si>
  <si>
    <t>Jobin's Global Landscape of AI Ethics Guidelines</t>
  </si>
  <si>
    <t>Heart and the Chip</t>
  </si>
  <si>
    <t>Integration of AI Tools in Newsroom</t>
  </si>
  <si>
    <t>Role of AI in Predicting Human Rights</t>
  </si>
  <si>
    <t>AI Law Model Law vs. 1.0</t>
  </si>
  <si>
    <t>Artificial Intelligence Act EU</t>
  </si>
  <si>
    <t>Values for the Future: The Role of Ethics in European and Global Governance</t>
  </si>
  <si>
    <t>IEEE Ethically ALigned Design v2</t>
  </si>
  <si>
    <t>Ethically Aligned Design: A Vision for Prioritizing Human Well-being with Autonomous and Intelligent Systems​</t>
  </si>
  <si>
    <t>AI, Robotics Autonomous Systems</t>
  </si>
  <si>
    <t>Statement on Artificial Intelligence, Robotics, and 'Autonomous' Systems​</t>
  </si>
  <si>
    <t>Montreal Declaration for Responsible AI Development</t>
  </si>
  <si>
    <t>Montreal Declaration for a Responsible Development of Artificial Intelligence​</t>
  </si>
  <si>
    <t>Navigating AI: Analysis and Guidance on the Use and Adoption of AI</t>
  </si>
  <si>
    <t xml:space="preserve"> Australian Information Industry Association (AIIA)​</t>
  </si>
  <si>
    <t>European Strategy on AI: Are we truly fostering social good</t>
  </si>
  <si>
    <t xml:space="preserve">Foffano, F., Scantamburlo, T, Cortes, A, &amp; Bissolo, C. </t>
  </si>
  <si>
    <t>Principles: Inclusive growth, sustainable development, well-being, human rights, democratic values, fairness, privacy, transparency, explainability, robustness, security, safety, accountability​
Values: Innovation, trustworthiness, respect for human rights, democratic values, non-discrimination, equality, freedom, dignity, autonomy, privacy, data protection, diversity, social justice, labor rights, environmental sustainability, responsible business conduct</t>
  </si>
  <si>
    <t>European Strategy on AI Harvard</t>
  </si>
  <si>
    <t>Telefónica's Artificial Intelligence Principles</t>
  </si>
  <si>
    <t>Smart Dubai Office</t>
  </si>
  <si>
    <t>Smart Dubai Initiative</t>
  </si>
  <si>
    <t>Principles: Fairness, transparency, accountability, explainability, safety, security, human values, inclusiveness​
Values: Ethical responsibility, societal trust, inclusivity, human-centric development, global collaboration</t>
  </si>
  <si>
    <t>Smart Dubai 2019</t>
  </si>
  <si>
    <t>Smart Dubai 2014</t>
  </si>
  <si>
    <t>Smart Dubai AI Ethics Principles and Guidelines</t>
  </si>
  <si>
    <t>British Embassy in Mexico, in collaboration with Oxford Insights and C Minds​</t>
  </si>
  <si>
    <t>The Toronto Declaration: Protecting the Rights to Equality and Non-Discrimination in Machine Learning Systems</t>
  </si>
  <si>
    <t>Amnesty International and Access Now</t>
  </si>
  <si>
    <t>OECD AI Principles 2019</t>
  </si>
  <si>
    <t>Partnership on AI Principles 2016</t>
  </si>
  <si>
    <t>Preparing for the Future of AI Obama 2016</t>
  </si>
  <si>
    <t>Partnership on AI (PAI)</t>
  </si>
  <si>
    <t>Executive Office of the President, National Science and Technology Council Committee on Technology</t>
  </si>
  <si>
    <t>Principled Artificial Intelligence: Mapping Consensus in Ethical and Rights-Based Approaches to Principles for AI</t>
  </si>
  <si>
    <t>Tencent Holdings Ltd.</t>
  </si>
  <si>
    <t>UNESCO AI Principles</t>
  </si>
  <si>
    <t>Report of Comest on Robotics Ethics</t>
  </si>
  <si>
    <t>AI and Sustainability: Opportunities, Challanges and Impact</t>
  </si>
  <si>
    <t>Aligning AI and Climate Governance</t>
  </si>
  <si>
    <t>Intel's Responsible Artificial Intelligence (RAI) Principles</t>
  </si>
  <si>
    <t>Intel's Responsible AI Principles.</t>
  </si>
  <si>
    <t>Interim Measures for the Administration of Generative AI</t>
  </si>
  <si>
    <t>AI and Islamic Ethics: A Framework for Ethical AI Development Based on Maqasid Al-Shariah</t>
  </si>
  <si>
    <t>International Conference on Artificial Intelligence, Navigation, Engineering, and Aviation Technology (ICANEAT)</t>
  </si>
  <si>
    <t>Islamic Ethical Framework for Artificial Intelligence: A Moral and Theological Perspective</t>
  </si>
  <si>
    <t>The Islamic Culture "As-Saqafat-ul Islamia" – Research Journal – Sheikh Zayed Islamic Centre, University of Karachi</t>
  </si>
  <si>
    <t>Pakistan</t>
  </si>
  <si>
    <t>Principles: Justice (adl), human dignity (karamah), responsibility (mas’ooliyyah)​
Values: Justice, human dignity, responsibility</t>
  </si>
  <si>
    <t>Islamic Ethical Framework for AI</t>
  </si>
  <si>
    <t>AI in Islamic Ethics: Towards Pluralist Ethical Benchmarking for AI</t>
  </si>
  <si>
    <t>College of Law, Qatar University (Author: Ezieddin Elmahjub)</t>
  </si>
  <si>
    <t>Qatar</t>
  </si>
  <si>
    <t>AI in Islamic Ethics</t>
  </si>
  <si>
    <t>AI and Islamic Ethics</t>
  </si>
  <si>
    <t>Israel's Policy on AI Regulation and Ethics</t>
  </si>
  <si>
    <t>Israel's Policy on AI regulationan and Ethics</t>
  </si>
  <si>
    <t>On AI, Jewish Thought Has Something Distinct to Say</t>
  </si>
  <si>
    <t>Future of Life Institute (Author: David Zvi Kalman)</t>
  </si>
  <si>
    <t>Principles: Human dignity, moral agency, responsibility, transparency, inclusivity, justice​
Values: Human dignity, moral agency, responsibility, transparency, inclusivity, justice</t>
  </si>
  <si>
    <t>On AI, Jewish Thought</t>
  </si>
  <si>
    <t>The Jewish Education Project (Author: David Zvi Kalman)</t>
  </si>
  <si>
    <t>Judaism's Three Doors into AI</t>
  </si>
  <si>
    <t>The Malicious Use of AI: Forecasting, Prevention and Mitigation</t>
  </si>
  <si>
    <t>Continental Artificial Intelligence Strategy</t>
  </si>
  <si>
    <t>Continental AI Strategy</t>
  </si>
  <si>
    <t>Principles: Security, responsibility, foresight, dual-use awareness, collaboration, prevention
Values: Safety, accountability, prudence, transparency, cooperative risk management</t>
  </si>
  <si>
    <t>Building Generative AI Responsibly</t>
  </si>
  <si>
    <t>Meta Platforms, Inc.</t>
  </si>
  <si>
    <t>Principles: Fairness and inclusion, robustness and safety, privacy and security, transparency, accountability, ethical development, user empowerment, environmental sustainability; Values: Trust, responsibility, innovation, respect, inclusivity, sustainability</t>
  </si>
  <si>
    <t>Meta Llama Responsible Use Guide</t>
  </si>
  <si>
    <t>Building Generative AI Responsibily</t>
  </si>
  <si>
    <t>Principles: Fairness and inclusion, robustness and safety, privacy and security, transparency, accountability, ethical development, user empowerment, environmental sustainability; Values: Trust, responsibility, innovation, respect, inclusivity, sustainability​</t>
  </si>
  <si>
    <t>Principles: Fairness, reliability and safety, privacy and security, inclusiveness, transparency, accountability; Values: Trust, responsibility, innovation, respect, inclusivity, sustainability​</t>
  </si>
  <si>
    <t>Microsoft’s Responsible AI Principles and Approach</t>
  </si>
  <si>
    <t>Principles: Fairness, reliability and safety, privacy and security, inclusiveness, transparency, accountability; Values: Trust, responsibility, innovation, inclusivity, security, ethical stewardship</t>
  </si>
  <si>
    <t>Microsoft Responsible AI Principles and Approach 2023</t>
  </si>
  <si>
    <t>Microsoft Responsible AI Principles 2018</t>
  </si>
  <si>
    <t>Explanatory Report to the Council of Europe Framework Convention on AI and Human Rights, Democracy and the Rule of Law</t>
  </si>
  <si>
    <t>National Strategy for the Development of AI in Ukraine</t>
  </si>
  <si>
    <t>https://www.government.se/press-releases/2018/05/sweden-to-lead-ai-cooperation-in-nordic-baltic-region/?form=MG0AV3</t>
  </si>
  <si>
    <t>AI in the Nordic-Baltic region</t>
  </si>
  <si>
    <t>Sweden to Lead AI Cooperation in Nordic-Baltic Region</t>
  </si>
  <si>
    <t>Government Offices of Sweden</t>
  </si>
  <si>
    <t>Provisions on the Management of Algorithmic Recommendation in Internet Information Services</t>
  </si>
  <si>
    <t>Cyberspace Administration of China (CAC)</t>
  </si>
  <si>
    <t>Provision on the Management of Algorithmic Recommendation in Internet Information Services</t>
  </si>
  <si>
    <t>OECD AI Principles 2024</t>
  </si>
  <si>
    <t>OECD Updates AI Principles 2024</t>
  </si>
  <si>
    <t>OpenAI's Charter</t>
  </si>
  <si>
    <t>Google's AI Principles 2024</t>
  </si>
  <si>
    <t>Oxford’s Governance of AI Program</t>
  </si>
  <si>
    <t xml:space="preserve">Peking University </t>
  </si>
  <si>
    <t>Center for the Governance of AI</t>
  </si>
  <si>
    <t>Oxford Martin AI Governance Initiative</t>
  </si>
  <si>
    <t>International AI Governance</t>
  </si>
  <si>
    <t>Oxford AI programs Said Business School University of Oxford</t>
  </si>
  <si>
    <t>Principles: Innovation, collaboration, competitiveness, talent development, data infrastructure, governance; Values: Economic growth, technological leadership, human capital development, data-driven decision-making, ethical oversight​</t>
  </si>
  <si>
    <t>Center for the Governance of AI - UK and USA</t>
  </si>
  <si>
    <t>Oxford Martin AI Initiative</t>
  </si>
  <si>
    <t>Oxford Martin School, University of Oxford</t>
  </si>
  <si>
    <t>Provisions of the Management of Deep Synthesis of Internet Information</t>
  </si>
  <si>
    <t>Oxford Martin AI Governance Initiative (AIGI)</t>
  </si>
  <si>
    <t>PwC's Responsible AI</t>
  </si>
  <si>
    <t>PwC's Responsible AI 2021</t>
  </si>
  <si>
    <t>Peking University Official Website</t>
  </si>
  <si>
    <t>Principles: Adherence to core socialist values, promotion of fairness and justice, ensuring security and privacy, encouraging inclusivity and shared responsibility, fostering openness and collaboration; Values: Social harmony, equitable development, trust, collective well-being, transparency​</t>
  </si>
  <si>
    <t>Responsible AI Collaborative Joint Industry Initiative</t>
  </si>
  <si>
    <t>PricewaterhouseCoopers (PwC)</t>
  </si>
  <si>
    <t>Principles: Governance, interpretability and explainability, bias and fairness, robustness and security, ethics and regulation; Values: Trustworthiness, accountability, transparency, equity, safety, compliance​</t>
  </si>
  <si>
    <t>PwC Responsible AI</t>
  </si>
  <si>
    <t>Principles: Governance, interpretability and explainability, bias and fairness, robustness and security, ethics and regulation; Values: Trustworthiness, accountability, transparency, equity, safety, compliance</t>
  </si>
  <si>
    <t>Segal Marco Advisors (Lead Filer)</t>
  </si>
  <si>
    <t>Report on the Use of AI at Apple Inc.</t>
  </si>
  <si>
    <t>Principles: AI transparency reporting, ethical AI guidelines, alignment with AI Bill of Rights, corporate responsibility, sustainability; Values: Algorithmic discrimination protections, data privacy, notice and explanation, human alternatives, consideration, fallback​</t>
  </si>
  <si>
    <t>Apple AI Shareholder Proposal</t>
  </si>
  <si>
    <t>G7</t>
  </si>
  <si>
    <t>G10</t>
  </si>
  <si>
    <t>G20</t>
  </si>
  <si>
    <t>South Africa</t>
  </si>
  <si>
    <t>Economic Power</t>
  </si>
  <si>
    <t>GDP</t>
  </si>
  <si>
    <t>AI Leadership</t>
  </si>
  <si>
    <t># of AI Patents with WIPO</t>
  </si>
  <si>
    <t>AI Research Publications (scopus, Google, Scolar Metrics)</t>
  </si>
  <si>
    <t>Presence of AI policy frameworks</t>
  </si>
  <si>
    <t>Population</t>
  </si>
  <si>
    <t xml:space="preserve"> Geographic Diversity</t>
  </si>
  <si>
    <t>Religious Orgnaization</t>
  </si>
  <si>
    <t>Data Check</t>
  </si>
  <si>
    <t>Count Entries</t>
  </si>
  <si>
    <t>Years</t>
  </si>
  <si>
    <t>Researchers</t>
  </si>
  <si>
    <t>Countries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</si>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</sst>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3.5"/>
      <color theme="1"/>
      <name val="Calibri"/>
      <family val="2"/>
      <scheme val="minor"/>
    </font>
    <font>
      <sz val="11"/>
      <color theme="1"/>
      <name val="Aptos"/>
      <family val="2"/>
    </font>
    <font>
      <b/>
      <sz val="11"/>
      <color theme="1"/>
      <name val="Aptos"/>
      <family val="2"/>
    </font>
    <font>
      <b/>
      <sz val="11"/>
      <color theme="0"/>
      <name val="Calibri"/>
      <family val="2"/>
      <scheme val="minor"/>
    </font>
    <font>
      <sz val="11"/>
      <name val="Calibri"/>
      <family val="2"/>
      <scheme val="minor"/>
    </font>
    <font>
      <i/>
      <sz val="11"/>
      <color theme="1"/>
      <name val="Calibri"/>
      <family val="2"/>
      <scheme val="minor"/>
    </font>
    <font>
      <b/>
      <sz val="14"/>
      <color theme="1"/>
      <name val="Calibri"/>
      <family val="2"/>
      <scheme val="minor"/>
    </font>
    <font>
      <b/>
      <sz val="11"/>
      <name val="Calibri"/>
      <family val="2"/>
      <scheme val="minor"/>
    </font>
    <font>
      <b/>
      <sz val="12"/>
      <color theme="1"/>
      <name val="Calibri"/>
      <family val="2"/>
      <scheme val="minor"/>
    </font>
    <font>
      <b/>
      <sz val="10"/>
      <color theme="0"/>
      <name val="Calibri"/>
      <family val="2"/>
      <scheme val="minor"/>
    </font>
    <font>
      <u/>
      <sz val="11"/>
      <color theme="10"/>
      <name val="Calibri"/>
      <family val="2"/>
      <scheme val="minor"/>
    </font>
    <font>
      <sz val="9"/>
      <color indexed="81"/>
      <name val="Tahoma"/>
      <family val="2"/>
    </font>
    <font>
      <b/>
      <sz val="9"/>
      <color indexed="81"/>
      <name val="Tahoma"/>
      <family val="2"/>
    </font>
    <font>
      <sz val="11"/>
      <color rgb="FF222222"/>
      <name val="Segoe UI"/>
      <family val="2"/>
    </font>
    <font>
      <sz val="13.75"/>
      <color theme="1"/>
      <name val="Arial"/>
      <family val="2"/>
    </font>
    <font>
      <sz val="10"/>
      <color rgb="FF374151"/>
      <name val="Arial"/>
      <family val="2"/>
    </font>
    <font>
      <sz val="8"/>
      <name val="Calibri"/>
      <family val="2"/>
      <scheme val="minor"/>
    </font>
    <font>
      <sz val="9"/>
      <color indexed="81"/>
      <name val="Tahoma"/>
      <charset val="1"/>
    </font>
    <font>
      <b/>
      <sz val="9"/>
      <color indexed="81"/>
      <name val="Tahoma"/>
      <charset val="1"/>
    </font>
  </fonts>
  <fills count="13">
    <fill>
      <patternFill patternType="none"/>
    </fill>
    <fill>
      <patternFill patternType="gray125"/>
    </fill>
    <fill>
      <patternFill patternType="solid">
        <fgColor theme="1"/>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8" tint="-0.249977111117893"/>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s>
  <cellStyleXfs count="2">
    <xf numFmtId="0" fontId="0" fillId="0" borderId="0"/>
    <xf numFmtId="0" fontId="12" fillId="0" borderId="0" applyNumberFormat="0" applyFill="0" applyBorder="0" applyAlignment="0" applyProtection="0"/>
  </cellStyleXfs>
  <cellXfs count="101">
    <xf numFmtId="0" fontId="0" fillId="0" borderId="0" xfId="0"/>
    <xf numFmtId="0" fontId="0" fillId="0" borderId="0" xfId="0" applyAlignment="1">
      <alignment wrapText="1"/>
    </xf>
    <xf numFmtId="0" fontId="0" fillId="0" borderId="0" xfId="0" applyAlignment="1">
      <alignment horizontal="center"/>
    </xf>
    <xf numFmtId="0" fontId="2"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2" fillId="0" borderId="0" xfId="0" applyFont="1" applyAlignment="1">
      <alignment vertical="center" wrapText="1"/>
    </xf>
    <xf numFmtId="0" fontId="1" fillId="0" borderId="0" xfId="0" applyFont="1" applyAlignment="1">
      <alignment horizontal="left" vertical="top" wrapText="1"/>
    </xf>
    <xf numFmtId="0" fontId="0" fillId="0" borderId="0" xfId="0" applyAlignment="1">
      <alignment horizontal="left" vertical="top" wrapText="1"/>
    </xf>
    <xf numFmtId="0" fontId="1" fillId="0" borderId="0" xfId="0" applyFont="1" applyAlignment="1">
      <alignment vertical="top" wrapText="1"/>
    </xf>
    <xf numFmtId="0" fontId="0" fillId="0" borderId="0" xfId="0" applyAlignment="1">
      <alignment vertical="top" wrapText="1"/>
    </xf>
    <xf numFmtId="0" fontId="2" fillId="0" borderId="0" xfId="0" applyFont="1" applyAlignment="1">
      <alignment vertical="top" wrapText="1"/>
    </xf>
    <xf numFmtId="0" fontId="4" fillId="0" borderId="0" xfId="0" applyFont="1" applyAlignment="1">
      <alignment vertical="top" wrapText="1"/>
    </xf>
    <xf numFmtId="0" fontId="3" fillId="0" borderId="0" xfId="0" applyFont="1" applyAlignment="1">
      <alignment vertical="top" wrapText="1"/>
    </xf>
    <xf numFmtId="0" fontId="2" fillId="0" borderId="0" xfId="0" applyFont="1" applyAlignment="1">
      <alignment horizontal="center" vertical="top" wrapText="1"/>
    </xf>
    <xf numFmtId="0" fontId="1" fillId="0" borderId="0" xfId="0" applyFont="1"/>
    <xf numFmtId="0" fontId="1" fillId="0" borderId="0" xfId="0" applyFont="1" applyAlignment="1">
      <alignment vertical="top"/>
    </xf>
    <xf numFmtId="0" fontId="0" fillId="0" borderId="0" xfId="0" applyAlignment="1">
      <alignment vertical="top"/>
    </xf>
    <xf numFmtId="0" fontId="5" fillId="2" borderId="0" xfId="0" applyFont="1" applyFill="1" applyAlignment="1">
      <alignment vertical="top" wrapText="1"/>
    </xf>
    <xf numFmtId="0" fontId="0" fillId="0" borderId="1" xfId="0" applyBorder="1" applyAlignment="1">
      <alignment horizontal="left" vertical="top" wrapText="1"/>
    </xf>
    <xf numFmtId="0" fontId="6" fillId="0" borderId="0" xfId="0" applyFont="1" applyAlignment="1">
      <alignment vertical="top" wrapText="1"/>
    </xf>
    <xf numFmtId="0" fontId="4" fillId="3" borderId="0" xfId="0" applyFont="1" applyFill="1" applyAlignment="1">
      <alignment vertical="top" wrapText="1"/>
    </xf>
    <xf numFmtId="0" fontId="2" fillId="0" borderId="0" xfId="0" applyFont="1" applyAlignment="1">
      <alignment horizontal="center" vertical="center"/>
    </xf>
    <xf numFmtId="0" fontId="0" fillId="0" borderId="0" xfId="0" applyAlignment="1">
      <alignment horizontal="left" vertical="center" wrapText="1" indent="1"/>
    </xf>
    <xf numFmtId="0" fontId="0" fillId="0" borderId="0" xfId="0" applyAlignment="1">
      <alignment horizontal="left" vertical="top" wrapText="1" indent="1"/>
    </xf>
    <xf numFmtId="0" fontId="1" fillId="3" borderId="0" xfId="0" applyFont="1" applyFill="1" applyAlignment="1">
      <alignment horizontal="left" vertical="top" wrapText="1"/>
    </xf>
    <xf numFmtId="0" fontId="1" fillId="3" borderId="0" xfId="0" applyFont="1" applyFill="1"/>
    <xf numFmtId="0" fontId="1" fillId="0" borderId="0" xfId="0" applyFont="1" applyAlignment="1">
      <alignment wrapText="1"/>
    </xf>
    <xf numFmtId="0" fontId="1" fillId="0" borderId="0" xfId="0" applyFont="1" applyAlignment="1">
      <alignment horizontal="left" vertical="center" wrapText="1" indent="1"/>
    </xf>
    <xf numFmtId="0" fontId="1" fillId="0" borderId="0" xfId="0" applyFont="1" applyAlignment="1">
      <alignment horizontal="left" vertical="center"/>
    </xf>
    <xf numFmtId="0" fontId="8" fillId="0" borderId="0" xfId="0" applyFont="1" applyAlignment="1">
      <alignment horizontal="center" vertical="top" wrapText="1"/>
    </xf>
    <xf numFmtId="0" fontId="1" fillId="4" borderId="0" xfId="0" applyFont="1" applyFill="1" applyAlignment="1">
      <alignment horizontal="left" vertical="top" wrapText="1"/>
    </xf>
    <xf numFmtId="0" fontId="9" fillId="5" borderId="0" xfId="0" applyFont="1" applyFill="1" applyAlignment="1">
      <alignment vertical="top" wrapText="1"/>
    </xf>
    <xf numFmtId="0" fontId="6" fillId="5" borderId="0" xfId="0" applyFont="1" applyFill="1" applyAlignment="1">
      <alignment vertical="top" wrapText="1"/>
    </xf>
    <xf numFmtId="0" fontId="2" fillId="5" borderId="0" xfId="0" applyFont="1" applyFill="1" applyAlignment="1">
      <alignment vertical="center" wrapText="1"/>
    </xf>
    <xf numFmtId="0" fontId="0" fillId="5" borderId="0" xfId="0" applyFill="1" applyAlignment="1">
      <alignment vertical="top" wrapText="1"/>
    </xf>
    <xf numFmtId="0" fontId="5" fillId="5" borderId="0" xfId="0" applyFont="1" applyFill="1" applyAlignment="1">
      <alignment vertical="top" wrapText="1"/>
    </xf>
    <xf numFmtId="0" fontId="1" fillId="5" borderId="0" xfId="0" applyFont="1" applyFill="1" applyAlignment="1">
      <alignment vertical="top" wrapText="1"/>
    </xf>
    <xf numFmtId="0" fontId="0" fillId="5" borderId="0" xfId="0" applyFill="1" applyAlignment="1">
      <alignment horizontal="center" vertical="top" wrapText="1"/>
    </xf>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0" fontId="2" fillId="0" borderId="2" xfId="0" applyFont="1" applyBorder="1" applyAlignment="1">
      <alignment vertical="center"/>
    </xf>
    <xf numFmtId="0" fontId="0" fillId="0" borderId="2" xfId="0" applyBorder="1"/>
    <xf numFmtId="0" fontId="0" fillId="0" borderId="0" xfId="0" applyAlignment="1">
      <alignment horizontal="center" vertical="top" wrapText="1"/>
    </xf>
    <xf numFmtId="0" fontId="6" fillId="0" borderId="0" xfId="0" applyFont="1" applyAlignment="1">
      <alignment horizontal="left" vertical="top" wrapText="1"/>
    </xf>
    <xf numFmtId="0" fontId="9" fillId="0" borderId="0" xfId="0" applyFont="1" applyAlignment="1">
      <alignment horizontal="left" vertical="top" wrapText="1"/>
    </xf>
    <xf numFmtId="0" fontId="9" fillId="0" borderId="0" xfId="0" applyFont="1" applyAlignment="1">
      <alignment vertical="top" wrapText="1"/>
    </xf>
    <xf numFmtId="0" fontId="6" fillId="6" borderId="0" xfId="0" applyFont="1" applyFill="1" applyAlignment="1">
      <alignment vertical="top" wrapText="1"/>
    </xf>
    <xf numFmtId="0" fontId="9" fillId="6" borderId="0" xfId="0" applyFont="1" applyFill="1" applyAlignment="1">
      <alignment vertical="top" wrapText="1"/>
    </xf>
    <xf numFmtId="0" fontId="0" fillId="0" borderId="0" xfId="0" applyAlignment="1">
      <alignment horizontal="left" vertical="center" wrapText="1"/>
    </xf>
    <xf numFmtId="0" fontId="1" fillId="0" borderId="0" xfId="0" applyFont="1" applyAlignment="1">
      <alignment horizontal="left" vertical="center" wrapText="1"/>
    </xf>
    <xf numFmtId="0" fontId="0" fillId="3" borderId="0" xfId="0" applyFill="1"/>
    <xf numFmtId="0" fontId="10" fillId="0" borderId="0" xfId="0" applyFont="1" applyAlignment="1">
      <alignment vertical="center" wrapText="1"/>
    </xf>
    <xf numFmtId="0" fontId="0" fillId="0" borderId="0" xfId="0" applyAlignment="1">
      <alignment horizontal="left" vertical="center"/>
    </xf>
    <xf numFmtId="0" fontId="1" fillId="0" borderId="0" xfId="0" applyFont="1" applyAlignment="1">
      <alignment horizontal="left" wrapText="1"/>
    </xf>
    <xf numFmtId="0" fontId="0" fillId="0" borderId="0" xfId="0" applyAlignment="1">
      <alignment horizontal="left" vertical="top"/>
    </xf>
    <xf numFmtId="0" fontId="0" fillId="0" borderId="0" xfId="0" applyAlignment="1">
      <alignment horizontal="left" vertical="center" indent="2"/>
    </xf>
    <xf numFmtId="0" fontId="0" fillId="0" borderId="0" xfId="0" applyAlignment="1">
      <alignment horizontal="left" vertical="center" indent="3"/>
    </xf>
    <xf numFmtId="0" fontId="11" fillId="2" borderId="0" xfId="0" applyFont="1" applyFill="1" applyAlignment="1">
      <alignment vertical="top" wrapText="1"/>
    </xf>
    <xf numFmtId="0" fontId="0" fillId="7" borderId="0" xfId="0" applyFill="1"/>
    <xf numFmtId="0" fontId="12" fillId="0" borderId="0" xfId="1" applyAlignment="1">
      <alignment wrapText="1"/>
    </xf>
    <xf numFmtId="0" fontId="12" fillId="0" borderId="0" xfId="1"/>
    <xf numFmtId="0" fontId="0" fillId="9" borderId="0" xfId="0" applyFill="1"/>
    <xf numFmtId="0" fontId="1" fillId="0" borderId="0" xfId="0" applyFont="1" applyAlignment="1">
      <alignment vertical="center"/>
    </xf>
    <xf numFmtId="0" fontId="0" fillId="6" borderId="0" xfId="0" applyFill="1"/>
    <xf numFmtId="0" fontId="1" fillId="0" borderId="0" xfId="0" applyFont="1" applyAlignment="1">
      <alignment horizontal="center" wrapText="1"/>
    </xf>
    <xf numFmtId="0" fontId="1" fillId="0" borderId="0" xfId="0" applyFont="1" applyAlignment="1">
      <alignment horizontal="center" vertical="top" wrapText="1"/>
    </xf>
    <xf numFmtId="0" fontId="1" fillId="0" borderId="0" xfId="0" applyFont="1" applyAlignment="1">
      <alignment horizontal="center" vertical="top"/>
    </xf>
    <xf numFmtId="0" fontId="0" fillId="0" borderId="0" xfId="0" applyAlignment="1">
      <alignment horizontal="center" wrapText="1"/>
    </xf>
    <xf numFmtId="0" fontId="0" fillId="0" borderId="0" xfId="0" applyAlignment="1">
      <alignment horizontal="center" vertical="center"/>
    </xf>
    <xf numFmtId="1" fontId="1" fillId="0" borderId="0" xfId="0" applyNumberFormat="1" applyFont="1" applyAlignment="1">
      <alignment horizontal="center" vertical="center" wrapText="1"/>
    </xf>
    <xf numFmtId="1" fontId="0" fillId="0" borderId="0" xfId="0" applyNumberFormat="1" applyAlignment="1">
      <alignment horizontal="center" vertical="center" wrapText="1"/>
    </xf>
    <xf numFmtId="1" fontId="0" fillId="0" borderId="0" xfId="0" applyNumberFormat="1" applyAlignment="1">
      <alignment horizontal="center" vertical="center"/>
    </xf>
    <xf numFmtId="0" fontId="16" fillId="0" borderId="0" xfId="0" applyFont="1" applyAlignment="1">
      <alignment vertical="center" wrapText="1"/>
    </xf>
    <xf numFmtId="0" fontId="17" fillId="0" borderId="0" xfId="0" applyFont="1" applyAlignment="1">
      <alignment horizontal="left" vertical="center" wrapText="1" indent="1"/>
    </xf>
    <xf numFmtId="0" fontId="0" fillId="6" borderId="0" xfId="0" applyFill="1" applyAlignment="1">
      <alignment horizontal="left" vertical="top" wrapText="1"/>
    </xf>
    <xf numFmtId="0" fontId="0" fillId="10" borderId="0" xfId="0" applyFill="1" applyAlignment="1">
      <alignment horizontal="left" vertical="top" wrapText="1"/>
    </xf>
    <xf numFmtId="0" fontId="0" fillId="10" borderId="0" xfId="0" applyFill="1" applyAlignment="1">
      <alignment horizontal="center" vertical="center" wrapText="1"/>
    </xf>
    <xf numFmtId="1" fontId="0" fillId="10" borderId="0" xfId="0" applyNumberFormat="1" applyFill="1" applyAlignment="1">
      <alignment horizontal="center" vertical="center" wrapText="1"/>
    </xf>
    <xf numFmtId="0" fontId="0" fillId="10" borderId="0" xfId="0" applyFill="1" applyAlignment="1">
      <alignment vertical="top" wrapText="1"/>
    </xf>
    <xf numFmtId="0" fontId="0" fillId="11" borderId="0" xfId="0" applyFill="1" applyAlignment="1">
      <alignment horizontal="center" vertical="center" wrapText="1"/>
    </xf>
    <xf numFmtId="1" fontId="0" fillId="11" borderId="0" xfId="0" applyNumberFormat="1" applyFill="1" applyAlignment="1">
      <alignment horizontal="center" vertical="center" wrapText="1"/>
    </xf>
    <xf numFmtId="0" fontId="0" fillId="11" borderId="0" xfId="0" applyFill="1" applyAlignment="1">
      <alignment vertical="top" wrapText="1"/>
    </xf>
    <xf numFmtId="0" fontId="0" fillId="11" borderId="0" xfId="0" applyFill="1" applyAlignment="1">
      <alignment horizontal="left" vertical="top" wrapText="1"/>
    </xf>
    <xf numFmtId="0" fontId="1" fillId="11" borderId="0" xfId="0" applyFont="1" applyFill="1" applyAlignment="1">
      <alignment horizontal="center" wrapText="1"/>
    </xf>
    <xf numFmtId="0" fontId="0" fillId="10" borderId="0" xfId="0" applyFill="1" applyAlignment="1">
      <alignment horizontal="center" vertical="top" wrapText="1"/>
    </xf>
    <xf numFmtId="0" fontId="0" fillId="11" borderId="0" xfId="0" applyFill="1" applyAlignment="1">
      <alignment horizontal="center" vertical="top" wrapText="1"/>
    </xf>
    <xf numFmtId="1" fontId="0" fillId="0" borderId="0" xfId="0" applyNumberFormat="1" applyBorder="1" applyAlignment="1">
      <alignment horizontal="center" vertical="center"/>
    </xf>
    <xf numFmtId="0" fontId="12" fillId="0" borderId="0" xfId="1" applyAlignment="1">
      <alignment horizontal="left" vertical="top" wrapText="1"/>
    </xf>
    <xf numFmtId="0" fontId="15" fillId="8" borderId="0" xfId="0" applyFont="1" applyFill="1" applyAlignment="1">
      <alignment horizontal="center" vertical="top" wrapText="1"/>
    </xf>
    <xf numFmtId="0" fontId="0" fillId="6" borderId="0" xfId="0" applyFill="1" applyAlignment="1">
      <alignment horizontal="center" vertical="top" wrapText="1"/>
    </xf>
    <xf numFmtId="0" fontId="12" fillId="0" borderId="0" xfId="1" applyFill="1" applyAlignment="1">
      <alignment vertical="top" wrapText="1"/>
    </xf>
    <xf numFmtId="0" fontId="12" fillId="10" borderId="0" xfId="1" applyFill="1" applyAlignment="1">
      <alignment horizontal="left" vertical="top" wrapText="1"/>
    </xf>
    <xf numFmtId="0" fontId="12" fillId="0" borderId="0" xfId="1" applyFill="1" applyAlignment="1">
      <alignment horizontal="left" vertical="top" wrapText="1"/>
    </xf>
    <xf numFmtId="0" fontId="12" fillId="0" borderId="0" xfId="1" applyAlignment="1">
      <alignment vertical="top" wrapText="1"/>
    </xf>
    <xf numFmtId="0" fontId="0" fillId="12" borderId="0" xfId="0" applyFill="1" applyAlignment="1">
      <alignment vertical="top" wrapText="1"/>
    </xf>
    <xf numFmtId="0" fontId="0" fillId="0" borderId="0" xfId="0" quotePrefix="1" applyAlignment="1">
      <alignment horizontal="left" vertical="top"/>
    </xf>
    <xf numFmtId="0" fontId="1" fillId="11" borderId="0" xfId="0" applyFont="1" applyFill="1" applyAlignment="1">
      <alignment horizontal="center" vertical="center" wrapText="1"/>
    </xf>
    <xf numFmtId="0" fontId="0" fillId="0" borderId="0" xfId="0" quotePrefix="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papers.ssrn.com/sol3/papers.cfm?abstract_id=3518482"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17" Type="http://schemas.openxmlformats.org/officeDocument/2006/relationships/hyperlink" Target="https://digital-strategy.ec.europa.eu/en/policies/european-approach-artificial-intelligence?form=MG0AV3" TargetMode="External"/><Relationship Id="rId21" Type="http://schemas.openxmlformats.org/officeDocument/2006/relationships/hyperlink" Target="https://www.alizila.com/ai-for-good-alibabas-vision-for-tackling-global-challenges" TargetMode="External"/><Relationship Id="rId42" Type="http://schemas.openxmlformats.org/officeDocument/2006/relationships/hyperlink" Target="https://a-ai.ru/wp-content/uploads/2021/10/Code-of-Ethics.pdf?form=MG0AV3" TargetMode="External"/><Relationship Id="rId63" Type="http://schemas.openxmlformats.org/officeDocument/2006/relationships/hyperlink" Target="../../../../9AD3713C28CF9263/Desktop/PhD/BOOK/Jobin%20References.ris" TargetMode="External"/><Relationship Id="rId84" Type="http://schemas.openxmlformats.org/officeDocument/2006/relationships/hyperlink" Target="https://www.accessnow.org/wp-content/uploads/2018/11/AI-and-Human-Rights.pdf?form=MG0AV3" TargetMode="External"/><Relationship Id="rId138" Type="http://schemas.openxmlformats.org/officeDocument/2006/relationships/hyperlink" Target="https://partnershiponai.org/tenets/" TargetMode="External"/><Relationship Id="rId159" Type="http://schemas.openxmlformats.org/officeDocument/2006/relationships/hyperlink" Target="https://www.microsoft.com/en-us/ai/responsible-ai" TargetMode="External"/><Relationship Id="rId170" Type="http://schemas.openxmlformats.org/officeDocument/2006/relationships/hyperlink" Target="https://www.cac.gov.cn/2022-01/04/c_1642894606364259.htm" TargetMode="External"/><Relationship Id="rId107" Type="http://schemas.openxmlformats.org/officeDocument/2006/relationships/hyperlink" Target="https://www.telefonica.com/wp-content/uploads/sites/7/2021/11/principios-ai-eng-2018.pdf" TargetMode="External"/><Relationship Id="rId11" Type="http://schemas.openxmlformats.org/officeDocument/2006/relationships/hyperlink" Target="https://www.caidp.org/universal-guidelines-for-ai/?form=MG0AV3" TargetMode="External"/><Relationship Id="rId32" Type="http://schemas.openxmlformats.org/officeDocument/2006/relationships/hyperlink" Target="https://www.industry.gov.au/publications/australias-artificial-intelligence-ethics-principles/australias-ai-ethics-principles" TargetMode="External"/><Relationship Id="rId53" Type="http://schemas.openxmlformats.org/officeDocument/2006/relationships/hyperlink" Target="https://royalsociety.org/current-topics/ai-data/ethics-of-artificial-intelligence/?form=MG0AV3" TargetMode="External"/><Relationship Id="rId74" Type="http://schemas.openxmlformats.org/officeDocument/2006/relationships/hyperlink" Target="https://www.most.gov.cn/kjbgz/202109/t20210926_177063.html" TargetMode="External"/><Relationship Id="rId128" Type="http://schemas.openxmlformats.org/officeDocument/2006/relationships/hyperlink" Target="https://www.amazon.com/Heart-Chip-Bright-Future-Robots/dp/1324050233" TargetMode="External"/><Relationship Id="rId149" Type="http://schemas.openxmlformats.org/officeDocument/2006/relationships/hyperlink" Target="https://www.gov.cn/zhengce/zhengceku/202307/content_6891752.htm" TargetMode="External"/><Relationship Id="rId5" Type="http://schemas.openxmlformats.org/officeDocument/2006/relationships/hyperlink" Target="https://www.nature.com/articles/s42256-019-0088-2" TargetMode="External"/><Relationship Id="rId95" Type="http://schemas.openxmlformats.org/officeDocument/2006/relationships/hyperlink" Target="https://www.aiia-ai.org/col.jsp?id=200" TargetMode="External"/><Relationship Id="rId160" Type="http://schemas.openxmlformats.org/officeDocument/2006/relationships/hyperlink" Target="https://au.int/en/documents/20240809/continental-artificial-intelligence-strategy" TargetMode="External"/><Relationship Id="rId181" Type="http://schemas.openxmlformats.org/officeDocument/2006/relationships/hyperlink" Target="https://www.pwc.com/sg/en/services/reimagine-digital/data-optimisation/what-is-responsible-ai.html?form=MG0AV3" TargetMode="External"/><Relationship Id="rId22" Type="http://schemas.openxmlformats.org/officeDocument/2006/relationships/hyperlink" Target="https://cdt.org/area-of-focus/ai-policy-governance/?form=MG0AV3" TargetMode="External"/><Relationship Id="rId43" Type="http://schemas.openxmlformats.org/officeDocument/2006/relationships/hyperlink" Target="https://pmc.ncbi.nlm.nih.gov/articles/PMC9207836/" TargetMode="External"/><Relationship Id="rId64" Type="http://schemas.openxmlformats.org/officeDocument/2006/relationships/hyperlink" Target="https://oecd.ai/en/wonk/evolving-with-innovation-the-2024-oecd-ai-principles-update?form=MG0AV3&amp;form=MG0AV3" TargetMode="External"/><Relationship Id="rId118" Type="http://schemas.openxmlformats.org/officeDocument/2006/relationships/hyperlink" Target="https://www.coe.int/en/web/cepej/cepej-european-ethical-charter-on-the-use-of-artificial-intelligence-ai-in-judicial-systems-and-their-environment?form=MG0AV3" TargetMode="External"/><Relationship Id="rId139" Type="http://schemas.openxmlformats.org/officeDocument/2006/relationships/hyperlink" Target="https://crcs.seas.harvard.edu/publications/european-strategy-ai-are-we-truly-fostering-social-good" TargetMode="External"/><Relationship Id="rId85" Type="http://schemas.openxmlformats.org/officeDocument/2006/relationships/hyperlink" Target="https://publications.parliament.uk/pa/ld201719/ldselect/ldai/100/100.pdf?form=MG0AV3" TargetMode="External"/><Relationship Id="rId150" Type="http://schemas.openxmlformats.org/officeDocument/2006/relationships/hyperlink" Target="https://theislamicculture.com/index.php/tis/article/view/957?form=MG0AV3" TargetMode="External"/><Relationship Id="rId171" Type="http://schemas.openxmlformats.org/officeDocument/2006/relationships/hyperlink" Target="https://openai.com/charter/" TargetMode="External"/><Relationship Id="rId12" Type="http://schemas.openxmlformats.org/officeDocument/2006/relationships/hyperlink" Target="https://comite-etica.upc.edu/ca/actualitat?form=MG0AV3" TargetMode="External"/><Relationship Id="rId33" Type="http://schemas.openxmlformats.org/officeDocument/2006/relationships/hyperlink" Target="https://esg.baidu.com/detail/443.html?utm_source=chatgpt.com" TargetMode="External"/><Relationship Id="rId108" Type="http://schemas.openxmlformats.org/officeDocument/2006/relationships/hyperlink" Target="https://u.ae/en/about-the-uae/strategies-initiatives-and-awards/strategies-plans-and-visions/strategies-plans-and-visions-untill-2021/smart-dubai-2021-strategy" TargetMode="External"/><Relationship Id="rId129" Type="http://schemas.openxmlformats.org/officeDocument/2006/relationships/hyperlink" Target="https://theaitrack.com/the-new-york-times-ai-tools-echo-newsroom/?form=MG0AV3" TargetMode="External"/><Relationship Id="rId54" Type="http://schemas.openxmlformats.org/officeDocument/2006/relationships/hyperlink" Target="https://www.cimphony.ai/insights/ai-ethics-principles-frameworks-and-governance?form=MG0AV3" TargetMode="External"/><Relationship Id="rId75" Type="http://schemas.openxmlformats.org/officeDocument/2006/relationships/hyperlink" Target="https://www.ohchr.org/sites/default/files/documents/publications/guidingprinciplesbusinesshr_en.pdf" TargetMode="External"/><Relationship Id="rId96" Type="http://schemas.openxmlformats.org/officeDocument/2006/relationships/hyperlink" Target="https://www.aiia-ai.org/col.jsp?id=200" TargetMode="External"/><Relationship Id="rId140" Type="http://schemas.openxmlformats.org/officeDocument/2006/relationships/hyperlink" Target="https://www.digitaldubai.ae/pdfviewer/web/viewer.html?file=https://www.digitaldubai.ae/docs/default-source/ai-principles-resources/ai-ethics.pdf?sfvrsn=d4184f8d_6" TargetMode="External"/><Relationship Id="rId161" Type="http://schemas.openxmlformats.org/officeDocument/2006/relationships/hyperlink" Target="https://ai.meta.com/static-resource/responsible-use-guide/?form=MG0AV3" TargetMode="External"/><Relationship Id="rId182" Type="http://schemas.openxmlformats.org/officeDocument/2006/relationships/hyperlink" Target="https://collaborate.unpri.org/group/20921/stream" TargetMode="External"/><Relationship Id="rId6" Type="http://schemas.openxmlformats.org/officeDocument/2006/relationships/hyperlink" Target="https://cyberir.mit.edu/site/global-landscape-ai-ethics-guidelines/?form=MG0AV3" TargetMode="External"/><Relationship Id="rId23" Type="http://schemas.openxmlformats.org/officeDocument/2006/relationships/hyperlink" Target="https://cdt.org/insights/cdt-europes-ai-bulletin-february-2025/?form=MG0AV3" TargetMode="External"/><Relationship Id="rId119" Type="http://schemas.openxmlformats.org/officeDocument/2006/relationships/hyperlink" Target="https://www.ibm.com/design/ai/ethics/everyday-ethics/?form=MG0AV3" TargetMode="External"/><Relationship Id="rId44" Type="http://schemas.openxmlformats.org/officeDocument/2006/relationships/hyperlink" Target="https://department.va.gov/ai/wp-content/uploads/sites/14/2023/09/trustworth-framework.pdf?utm_source=chatgpt.com" TargetMode="External"/><Relationship Id="rId65" Type="http://schemas.openxmlformats.org/officeDocument/2006/relationships/hyperlink" Target="https://www.oecd.org/en/about/news/press-releases/2024/05/oecd-updates-ai-principles-to-stay-abreast-of-rapid-technological-developments.html?form=MG0AV3" TargetMode="External"/><Relationship Id="rId86" Type="http://schemas.openxmlformats.org/officeDocument/2006/relationships/hyperlink" Target="https://www.aiia-ai.org/col.jsp?id=200" TargetMode="External"/><Relationship Id="rId130" Type="http://schemas.openxmlformats.org/officeDocument/2006/relationships/hyperlink" Target="https://www.openglobalrights.org/the-role-of-ai-in-predicting-human-rights-violations/?form=MG0AV3" TargetMode="External"/><Relationship Id="rId151" Type="http://schemas.openxmlformats.org/officeDocument/2006/relationships/hyperlink" Target="https://link.springer.com/article/10.1007/s13347-023-00668-x?form=MG0AV3" TargetMode="External"/><Relationship Id="rId172" Type="http://schemas.openxmlformats.org/officeDocument/2006/relationships/hyperlink" Target="https://ai.google/responsibility/principles/" TargetMode="External"/><Relationship Id="rId13" Type="http://schemas.openxmlformats.org/officeDocument/2006/relationships/hyperlink" Target="https://cifar.ca/cifarnews/2024/06/18/indigenous-perspectives-in-ai/?form=MG0AV3&amp;form=MG0AV3" TargetMode="External"/><Relationship Id="rId18" Type="http://schemas.openxmlformats.org/officeDocument/2006/relationships/hyperlink" Target="https://www.adobe.com/content/dam/cc/en/ai-ethics/pdfs/Adobe-AI-Ethics-Principles.pdf?form=MG0AV3" TargetMode="External"/><Relationship Id="rId39" Type="http://schemas.openxmlformats.org/officeDocument/2006/relationships/hyperlink" Target="https://blog.investchile.gob.cl/chile-ethical-artificial-intelligence?form=MG0AV3" TargetMode="External"/><Relationship Id="rId109" Type="http://schemas.openxmlformats.org/officeDocument/2006/relationships/hyperlink" Target="https://stip.oecd.org/stip/interactive-dashboards/policy-initiatives/2021%2Fdata%2FpolicyInitiatives%2F26703?form=MG0AV3" TargetMode="External"/><Relationship Id="rId34" Type="http://schemas.openxmlformats.org/officeDocument/2006/relationships/hyperlink" Target="https://www.baai.ac.cn/news/beijing-ai-principles.html" TargetMode="External"/><Relationship Id="rId50" Type="http://schemas.openxmlformats.org/officeDocument/2006/relationships/hyperlink" Target="https://chiefit.me/mas-introduces-new-feat-principles-to-promote-responsible-use-of-ai-and-data-analytics/?form=MG0AV3" TargetMode="External"/><Relationship Id="rId55" Type="http://schemas.openxmlformats.org/officeDocument/2006/relationships/hyperlink" Target="https://deepmind.google/discover/blog/the-ethics-of-advanced-ai-assistants/" TargetMode="External"/><Relationship Id="rId76" Type="http://schemas.openxmlformats.org/officeDocument/2006/relationships/hyperlink" Target="https://futureoflife.org/religion/a-hindu-perspective-on-ai-risks-and-opportunities/?form=MG0AV3" TargetMode="External"/><Relationship Id="rId97" Type="http://schemas.openxmlformats.org/officeDocument/2006/relationships/hyperlink" Target="https://www.aiia-ai.org/col.jsp?id=200" TargetMode="External"/><Relationship Id="rId104" Type="http://schemas.openxmlformats.org/officeDocument/2006/relationships/hyperlink" Target="https://www.aiia-ai.org/col.jsp?id=200" TargetMode="External"/><Relationship Id="rId120" Type="http://schemas.openxmlformats.org/officeDocument/2006/relationships/hyperlink" Target="https://web.archive.org/web/20210918145943/https:/chiefit.me/mas-introduces-new-feat-principles-to-promote-responsible-use-of-ai-and-data-analytics/" TargetMode="External"/><Relationship Id="rId125" Type="http://schemas.openxmlformats.org/officeDocument/2006/relationships/hyperlink" Target="https://www.teliacompany.com/assets/u5c1v3pt22v8/2vc3JrcTrqI77ww43dChjh/e7277ac89ac0c75926eba76625f37dd7/TC_guiding_principles_on_trusted_AI_Jan11.pdf?form=MG0AV3" TargetMode="External"/><Relationship Id="rId141" Type="http://schemas.openxmlformats.org/officeDocument/2006/relationships/hyperlink" Target="https://www.oecd.org/en/topics/ai-principles.html?form=MG0AV3" TargetMode="External"/><Relationship Id="rId146" Type="http://schemas.openxmlformats.org/officeDocument/2006/relationships/hyperlink" Target="https://unu.edu/ehs/series/aligning-ai-and-climate-governance?form=MG0AV3" TargetMode="External"/><Relationship Id="rId167" Type="http://schemas.openxmlformats.org/officeDocument/2006/relationships/hyperlink" Target="https://www.norden.org/en/declaration/ai-nordic-baltic-region?form=MG0AV3" TargetMode="External"/><Relationship Id="rId188" Type="http://schemas.openxmlformats.org/officeDocument/2006/relationships/vmlDrawing" Target="../drawings/vmlDrawing2.vml"/><Relationship Id="rId7" Type="http://schemas.openxmlformats.org/officeDocument/2006/relationships/hyperlink" Target="https://hdsr.mitpress.mit.edu/pub/l0jsh9d1/release/8?form=MG0AV3" TargetMode="External"/><Relationship Id="rId71" Type="http://schemas.openxmlformats.org/officeDocument/2006/relationships/hyperlink" Target="https://ai.google/principles/" TargetMode="External"/><Relationship Id="rId92" Type="http://schemas.openxmlformats.org/officeDocument/2006/relationships/hyperlink" Target="https://www.aiia-ai.org/col.jsp?id=200" TargetMode="External"/><Relationship Id="rId162" Type="http://schemas.openxmlformats.org/officeDocument/2006/relationships/hyperlink" Target="https://ai.meta.com/static-resource/building-generative-ai-responsibly/?form=MG0AV3" TargetMode="External"/><Relationship Id="rId183" Type="http://schemas.openxmlformats.org/officeDocument/2006/relationships/hyperlink" Target="https://www.niti.gov.in/sites/default/files/2023-03/National-Strategy-for-Artificial-Intelligence.pdf" TargetMode="External"/><Relationship Id="rId2" Type="http://schemas.openxmlformats.org/officeDocument/2006/relationships/hyperlink" Target="https://www.sikhnet.com/news/ai-and-sikhism%C2%A0?form=MG0AV3&amp;form=MG0AV3" TargetMode="External"/><Relationship Id="rId29" Type="http://schemas.openxmlformats.org/officeDocument/2006/relationships/hyperlink" Target="https://www.gov.scot/publications/scotlands-ai-strategy-trustworthy-ethical-inclusive/?form=MG0AV3scotlandaistrategy.com" TargetMode="External"/><Relationship Id="rId24" Type="http://schemas.openxmlformats.org/officeDocument/2006/relationships/hyperlink" Target="https://www.gov.uk/government/publications/ai-opportunities-action-plan/ai-opportunities-action-plan?form=MG0AV3" TargetMode="External"/><Relationship Id="rId40" Type="http://schemas.openxmlformats.org/officeDocument/2006/relationships/hyperlink" Target="https://asiasociety.org/policy-institute/chinas-emerging-approach-regulating-general-purpose-artificial-intelligence-balancing-innovation-and?form=MG0AV3" TargetMode="External"/><Relationship Id="rId45" Type="http://schemas.openxmlformats.org/officeDocument/2006/relationships/hyperlink" Target="https://www.defense.gov/News/Releases/Release/Article/2091996/dod-adopts-ethical-principles-for-artificial-intelligence/" TargetMode="External"/><Relationship Id="rId66" Type="http://schemas.openxmlformats.org/officeDocument/2006/relationships/hyperlink" Target="https://oecd.ai/en/ai-principles?form=MG0AV3" TargetMode="External"/><Relationship Id="rId87" Type="http://schemas.openxmlformats.org/officeDocument/2006/relationships/hyperlink" Target="https://www.aiia-ai.org/col.jsp?id=201" TargetMode="External"/><Relationship Id="rId110" Type="http://schemas.openxmlformats.org/officeDocument/2006/relationships/hyperlink" Target="https://www.amnesty.org/en/documents/pol30/8447/2018/en/?form=MG0AV3" TargetMode="External"/><Relationship Id="rId115" Type="http://schemas.openxmlformats.org/officeDocument/2006/relationships/hyperlink" Target="https://standards.ieee.org/wp-content/uploads/import/documents/other/ead_v2.pdf" TargetMode="External"/><Relationship Id="rId131" Type="http://schemas.openxmlformats.org/officeDocument/2006/relationships/hyperlink" Target="https://digichina.stanford.edu/work/translation-artificial-intelligence-law-model-law-v-1-0-expert-suggestion-draft-aug-2023/" TargetMode="External"/><Relationship Id="rId136" Type="http://schemas.openxmlformats.org/officeDocument/2006/relationships/hyperlink" Target="https://op.europa.eu/en/publication-detail/-/publication/dfebe62e-4ce9-11e8-be1d-01aa75ed71a1?form=MG0AV3" TargetMode="External"/><Relationship Id="rId157" Type="http://schemas.openxmlformats.org/officeDocument/2006/relationships/hyperlink" Target="https://blogs.timesofisrael.com/open-vs-closed-ai-a-jewish-ethical-view/" TargetMode="External"/><Relationship Id="rId178" Type="http://schemas.openxmlformats.org/officeDocument/2006/relationships/hyperlink" Target="https://nus.edu.sg/newshub/news/2024/2024-11/2024-11-15/HUB-st-15nov-pB3.pdf" TargetMode="External"/><Relationship Id="rId61" Type="http://schemas.openxmlformats.org/officeDocument/2006/relationships/hyperlink" Target="https://www.global-solutions-initiative.org/task_force/g20-2017/?form=MG0AV3" TargetMode="External"/><Relationship Id="rId82" Type="http://schemas.openxmlformats.org/officeDocument/2006/relationships/hyperlink" Target="https://indiabioscience.org/news/2023/ethics-innovation-and-global-collaboration-takeaways-from-dialogue-2023" TargetMode="External"/><Relationship Id="rId152" Type="http://schemas.openxmlformats.org/officeDocument/2006/relationships/hyperlink" Target="https://www.icaneat-apibanyuwangi.org/index.php/icaneat/article/view/105/105" TargetMode="External"/><Relationship Id="rId173" Type="http://schemas.openxmlformats.org/officeDocument/2006/relationships/hyperlink" Target="https://www.pku.edu.cn/en.html" TargetMode="External"/><Relationship Id="rId19" Type="http://schemas.openxmlformats.org/officeDocument/2006/relationships/hyperlink" Target="https://www.turing.ac.uk/research/research-programmes/artificial-intelligence?form=MG0AV3" TargetMode="External"/><Relationship Id="rId14" Type="http://schemas.openxmlformats.org/officeDocument/2006/relationships/hyperlink" Target="https://blogs.microsoft.com/on-the-issues/2018/12/17/six-principles-to-guide-microsofts-facial-recognition-work/?form=MG0AV3" TargetMode="External"/><Relationship Id="rId30" Type="http://schemas.openxmlformats.org/officeDocument/2006/relationships/hyperlink" Target="https://deepmind.com/about/ethics-and-society" TargetMode="External"/><Relationship Id="rId35" Type="http://schemas.openxmlformats.org/officeDocument/2006/relationships/hyperlink" Target="https://www.gov.br/mcti/pt-br/acompanhe-o-mcti/transformacaodigital/arquivosinteligenciaartificial/ebia-summary_brazilian_4-979_2021.pdf?utm_source=chatgpt.com" TargetMode="External"/><Relationship Id="rId56" Type="http://schemas.openxmlformats.org/officeDocument/2006/relationships/hyperlink" Target="https://cloud.google.com/transform/2025-and-the-next-chapters-of-ai/?form=MG0AV3" TargetMode="External"/><Relationship Id="rId77" Type="http://schemas.openxmlformats.org/officeDocument/2006/relationships/hyperlink" Target="../../../../9AD3713C28CF9263/Desktop/PhD/BOOK/Human%20Rights%20and%20Artificial%20Intelligence%20(CDDH-IA)" TargetMode="External"/><Relationship Id="rId100" Type="http://schemas.openxmlformats.org/officeDocument/2006/relationships/hyperlink" Target="https://www.aiia-ai.org/col.jsp?id=200" TargetMode="External"/><Relationship Id="rId105" Type="http://schemas.openxmlformats.org/officeDocument/2006/relationships/hyperlink" Target="https://www.aiia-ai.org/col.jsp?id=200" TargetMode="External"/><Relationship Id="rId126" Type="http://schemas.openxmlformats.org/officeDocument/2006/relationships/hyperlink" Target="https://recherche.umontreal.ca/english/strategic-initiatives/montreal-declaration-for-a-responsible-ai/?form=MG0AV3" TargetMode="External"/><Relationship Id="rId147" Type="http://schemas.openxmlformats.org/officeDocument/2006/relationships/hyperlink" Target="https://www.intel.com/content/dam/www/central-libraries/us/en/documents/2023-12/responsible-ai-principles.pdf" TargetMode="External"/><Relationship Id="rId168" Type="http://schemas.openxmlformats.org/officeDocument/2006/relationships/hyperlink" Target="https://www.government.se/press-releases/2018/05/sweden-to-lead-ai-cooperation-in-nordic-baltic-region/?form=MG0AV3" TargetMode="External"/><Relationship Id="rId8" Type="http://schemas.openxmlformats.org/officeDocument/2006/relationships/hyperlink" Target="https://www.nytimes.com/spotlight/new-work-summit-ai?form=MG0AV3" TargetMode="External"/><Relationship Id="rId51" Type="http://schemas.openxmlformats.org/officeDocument/2006/relationships/hyperlink" Target="https://www.sbfi.admin.ch/dam/sbfi/en/dokumente/2021/05/leitlinien-ki.pdf.download.pdf/leitlinien-ki_e.pdf?form=MG0AV3" TargetMode="External"/><Relationship Id="rId72" Type="http://schemas.openxmlformats.org/officeDocument/2006/relationships/hyperlink" Target="https://www.government.nl/documents/parliamentary-documents/2024/01/17/government-wide-vision-on-generative-ai-of-the-netherlands?form=MG0AV3" TargetMode="External"/><Relationship Id="rId93" Type="http://schemas.openxmlformats.org/officeDocument/2006/relationships/hyperlink" Target="https://www.aiia-ai.org/col.jsp?id=200" TargetMode="External"/><Relationship Id="rId98" Type="http://schemas.openxmlformats.org/officeDocument/2006/relationships/hyperlink" Target="https://www.aiia-ai.org/col.jsp?id=200" TargetMode="External"/><Relationship Id="rId121" Type="http://schemas.openxmlformats.org/officeDocument/2006/relationships/hyperlink" Target="https://oecd.ai/en/wonk/documents/g20-ai-principles?form=MG0AV3" TargetMode="External"/><Relationship Id="rId142" Type="http://schemas.openxmlformats.org/officeDocument/2006/relationships/hyperlink" Target="https://partnershiponai.org/?form=MG0AV3" TargetMode="External"/><Relationship Id="rId163" Type="http://schemas.openxmlformats.org/officeDocument/2006/relationships/hyperlink" Target="https://www.microsoft.com/en-us/ai/principles-and-approach" TargetMode="External"/><Relationship Id="rId184" Type="http://schemas.openxmlformats.org/officeDocument/2006/relationships/hyperlink" Target="https://www.responsible.ai/?form=MG0AV3" TargetMode="External"/><Relationship Id="rId189" Type="http://schemas.openxmlformats.org/officeDocument/2006/relationships/comments" Target="../comments2.xml"/><Relationship Id="rId3" Type="http://schemas.openxmlformats.org/officeDocument/2006/relationships/hyperlink" Target="https://arxiv.org/abs/1802.07228v2" TargetMode="External"/><Relationship Id="rId25" Type="http://schemas.openxmlformats.org/officeDocument/2006/relationships/hyperlink" Target="https://www.globalpolicywatch.com/2025/03/new-artificial-intelligence-legislation-in-mexico/" TargetMode="External"/><Relationship Id="rId46" Type="http://schemas.openxmlformats.org/officeDocument/2006/relationships/hyperlink" Target="https://hal.science/ALLISTENE-CERNA/hal-01724307v1" TargetMode="External"/><Relationship Id="rId67" Type="http://schemas.openxmlformats.org/officeDocument/2006/relationships/hyperlink" Target="https://eur-lex.europa.eu/eli/reg/2016/679/oj?form=MG0AV3" TargetMode="External"/><Relationship Id="rId116" Type="http://schemas.openxmlformats.org/officeDocument/2006/relationships/hyperlink" Target="https://www.europarl.europa.eu/cmsdata/196377/AI%20HLEG_Ethics%20Guidelines%20for%20Trustworthy%20AI.pdf?form=MG0AV3" TargetMode="External"/><Relationship Id="rId137" Type="http://schemas.openxmlformats.org/officeDocument/2006/relationships/hyperlink" Target="https://osf.io/sj2z5/download/" TargetMode="External"/><Relationship Id="rId158" Type="http://schemas.openxmlformats.org/officeDocument/2006/relationships/hyperlink" Target="https://www.jellomenorah.com/p/judaisms-three-doors-into-ai" TargetMode="External"/><Relationship Id="rId20" Type="http://schemas.openxmlformats.org/officeDocument/2006/relationships/hyperlink" Target="https://ecs.wgtn.ac.nz/Groups/AI_and_Society/?form=MG0AV3" TargetMode="External"/><Relationship Id="rId41" Type="http://schemas.openxmlformats.org/officeDocument/2006/relationships/hyperlink" Target="https://eu.boell.org/sites/default/files/2021-04/Artificial%20Intelligence%20and%20Climate%20Change_FINAL_14042021.pdf?form=MG0AV3" TargetMode="External"/><Relationship Id="rId62" Type="http://schemas.openxmlformats.org/officeDocument/2006/relationships/hyperlink" Target="../../../../9AD3713C28CF9263/Desktop/PhD/BOOK/CyberEd%20in%20a%20Box%20Use%20of%20AI%20Policy.docx" TargetMode="External"/><Relationship Id="rId83" Type="http://schemas.openxmlformats.org/officeDocument/2006/relationships/hyperlink" Target="https://publications.parliament.uk/pa/ld201719/ldselect/ldai/100/100.pdf?form=MG0AV3" TargetMode="External"/><Relationship Id="rId88" Type="http://schemas.openxmlformats.org/officeDocument/2006/relationships/hyperlink" Target="https://www.csiro.au/en/research/technology-space/ai/Artificial-Intelligence-Roadmap" TargetMode="External"/><Relationship Id="rId111" Type="http://schemas.openxmlformats.org/officeDocument/2006/relationships/hyperlink" Target="https://futureoflife.org/ai-principles/" TargetMode="External"/><Relationship Id="rId132" Type="http://schemas.openxmlformats.org/officeDocument/2006/relationships/hyperlink" Target="https://artificialintelligenceact.eu/the-act/?form=MG0AV3" TargetMode="External"/><Relationship Id="rId153" Type="http://schemas.openxmlformats.org/officeDocument/2006/relationships/hyperlink" Target="https://www.gov.il/en/pages/ai_2023?form=MG0AV3" TargetMode="External"/><Relationship Id="rId174" Type="http://schemas.openxmlformats.org/officeDocument/2006/relationships/hyperlink" Target="https://www.sbs.ox.ac.uk/oxford-ai-programmes?form=MG0AV3" TargetMode="External"/><Relationship Id="rId179" Type="http://schemas.openxmlformats.org/officeDocument/2006/relationships/hyperlink" Target="https://www.nytco.com/press/principles-for-using-generative-a%E2%80%A4i%E2%80%A4-in-the-timess-newsroom/?form=MG0AV3" TargetMode="External"/><Relationship Id="rId15" Type="http://schemas.openxmlformats.org/officeDocument/2006/relationships/hyperlink" Target="https://www.cas.go.jp/jp/seisaku/jinkouchinou/pdf/humancentricai.pdf?form=MG0AV3" TargetMode="External"/><Relationship Id="rId36" Type="http://schemas.openxmlformats.org/officeDocument/2006/relationships/hyperlink" Target="https://www.technologyreview.com/2021/01/06/1015779/what-buddhism-can-do-ai-ethics" TargetMode="External"/><Relationship Id="rId57" Type="http://schemas.openxmlformats.org/officeDocument/2006/relationships/hyperlink" Target="https://cloud.google.com/transform/building-ai-that-benefits-humanity-google-deepmind-responsible-ai-ethical-ai" TargetMode="External"/><Relationship Id="rId106" Type="http://schemas.openxmlformats.org/officeDocument/2006/relationships/hyperlink" Target="https://www.aiia-ai.org/col.jsp?id=200" TargetMode="External"/><Relationship Id="rId127" Type="http://schemas.openxmlformats.org/officeDocument/2006/relationships/hyperlink" Target="https://library.niti.gov.in/cgi-bin/koha/opac-retrieve-file.pl?id=64a94d5abb6b5eca7238f40fdb43ca36" TargetMode="External"/><Relationship Id="rId10" Type="http://schemas.openxmlformats.org/officeDocument/2006/relationships/hyperlink" Target="https://cloud.tencent.com/developer/news/411837?form=MG0AV3" TargetMode="External"/><Relationship Id="rId31" Type="http://schemas.openxmlformats.org/officeDocument/2006/relationships/hyperlink" Target="https://futureadvocacy.com/publications/artificial-intelligence-the-road-ahead-in-low-and-middle-income-countries/" TargetMode="External"/><Relationship Id="rId52" Type="http://schemas.openxmlformats.org/officeDocument/2006/relationships/hyperlink" Target="https://oecd.ai/en/wonk/evolving-with-innovation-the-2024-oecd-ai-principles-update?form=MG0AV3&amp;form=MG0AV3" TargetMode="External"/><Relationship Id="rId73" Type="http://schemas.openxmlformats.org/officeDocument/2006/relationships/hyperlink" Target="https://www.mofa.go.jp/files/100573473.pdf?form=MG0AV3" TargetMode="External"/><Relationship Id="rId78" Type="http://schemas.openxmlformats.org/officeDocument/2006/relationships/hyperlink" Target="https://www.ethikrat.org/en/publications/opinions/humans-and-machines/?form=MG0AV3" TargetMode="External"/><Relationship Id="rId94" Type="http://schemas.openxmlformats.org/officeDocument/2006/relationships/hyperlink" Target="https://www.aiia-ai.org/col.jsp?id=200" TargetMode="External"/><Relationship Id="rId99" Type="http://schemas.openxmlformats.org/officeDocument/2006/relationships/hyperlink" Target="https://www.aiia-ai.org/col.jsp?id=200" TargetMode="External"/><Relationship Id="rId101" Type="http://schemas.openxmlformats.org/officeDocument/2006/relationships/hyperlink" Target="https://www.aiia-ai.org/col.jsp?id=200" TargetMode="External"/><Relationship Id="rId122" Type="http://schemas.openxmlformats.org/officeDocument/2006/relationships/hyperlink" Target="https://ai-watch.ec.europa.eu/countries/germany/germany-ai-strategy-report_en?form=MG0AV3" TargetMode="External"/><Relationship Id="rId143" Type="http://schemas.openxmlformats.org/officeDocument/2006/relationships/hyperlink" Target="https://obamawhitehouse.archives.gov/sites/default/files/whitehouse_files/microsites/ostp/NSTC/preparing_for_the_future_of_ai.pdf?form=MG0AV3" TargetMode="External"/><Relationship Id="rId148" Type="http://schemas.openxmlformats.org/officeDocument/2006/relationships/hyperlink" Target="https://www.intel.com/content/dam/www/central-libraries/us/en/documents/2023-12/responsible-ai-principles.pdf?form=MG0AV3" TargetMode="External"/><Relationship Id="rId164" Type="http://schemas.openxmlformats.org/officeDocument/2006/relationships/hyperlink" Target="https://rm.coe.int/1680afae67" TargetMode="External"/><Relationship Id="rId169" Type="http://schemas.openxmlformats.org/officeDocument/2006/relationships/hyperlink" Target="https://oecd.ai/en/dashboards/ai-principles" TargetMode="External"/><Relationship Id="rId185" Type="http://schemas.openxmlformats.org/officeDocument/2006/relationships/hyperlink" Target="https://apps.dtic.mil/sti/trecms/pdf/AD1156709.pdf?form=MG0AV3https://news.pantheon.cmu.edu/stories/archives/2025/march/experts-tackle-generative-ai-ethics-and-governance-at-2025-kl-gates-cmu-conference?form=MG0AV3" TargetMode="External"/><Relationship Id="rId4" Type="http://schemas.openxmlformats.org/officeDocument/2006/relationships/hyperlink" Target="https://www.intel.com/content/dam/www/public/us/en/ai/documents/Intels-AI-Privacy-Policy-White-Paper-2018.pdf?form=MG0AV3" TargetMode="External"/><Relationship Id="rId9" Type="http://schemas.openxmlformats.org/officeDocument/2006/relationships/hyperlink" Target="https://www.anthropic.com/news/claudes-constitution?form=MG0AV3" TargetMode="External"/><Relationship Id="rId180" Type="http://schemas.openxmlformats.org/officeDocument/2006/relationships/hyperlink" Target="http://www.cac.gov.cn/2022-01/04/c_1642894606364259.htm" TargetMode="External"/><Relationship Id="rId26" Type="http://schemas.openxmlformats.org/officeDocument/2006/relationships/hyperlink" Target="https://www.heinrich.senate.gov/priorities/issues/artificial-intelligence" TargetMode="External"/><Relationship Id="rId47" Type="http://schemas.openxmlformats.org/officeDocument/2006/relationships/hyperlink" Target="https://www.eismd.eu/wp-content/uploads/2019/02/Ethical-Framework-for-a-Good-AI-Society.pdf" TargetMode="External"/><Relationship Id="rId68" Type="http://schemas.openxmlformats.org/officeDocument/2006/relationships/hyperlink" Target="https://op.europa.eu/en/publication-detail/-/publication/fa92329f-a2ff-11ef-85f0-01aa75ed71a1/language-en" TargetMode="External"/><Relationship Id="rId89" Type="http://schemas.openxmlformats.org/officeDocument/2006/relationships/hyperlink" Target="https://www.aiia-ai.org/col.jsp?id=200" TargetMode="External"/><Relationship Id="rId112" Type="http://schemas.openxmlformats.org/officeDocument/2006/relationships/hyperlink" Target="https://link.springer.com/content/pdf/10.1007/s11623-019-1183-6.pdf?form=MG0AV3" TargetMode="External"/><Relationship Id="rId133" Type="http://schemas.openxmlformats.org/officeDocument/2006/relationships/hyperlink" Target="https://futureoflife.org/ai-principles/" TargetMode="External"/><Relationship Id="rId154" Type="http://schemas.openxmlformats.org/officeDocument/2006/relationships/hyperlink" Target="https://www.ai-gakkai.or.jp/en/" TargetMode="External"/><Relationship Id="rId175" Type="http://schemas.openxmlformats.org/officeDocument/2006/relationships/hyperlink" Target="https://www.governance.ai/" TargetMode="External"/><Relationship Id="rId16" Type="http://schemas.openxmlformats.org/officeDocument/2006/relationships/hyperlink" Target="https://comite-etica.upc.edu/ca/actualitat/media/missionvillani_report_eng-vf.pdf?form=MG0AV3" TargetMode="External"/><Relationship Id="rId37" Type="http://schemas.openxmlformats.org/officeDocument/2006/relationships/hyperlink" Target="https://www.tbs-sct.canada.ca/pol/doc-eng.aspx?id=32592&amp;utm_source=chatgpt.com" TargetMode="External"/><Relationship Id="rId58" Type="http://schemas.openxmlformats.org/officeDocument/2006/relationships/hyperlink" Target="https://www.ibm.com/thought-leadership/institute-business-value/en-us/report/business-trends-2025" TargetMode="External"/><Relationship Id="rId79" Type="http://schemas.openxmlformats.org/officeDocument/2006/relationships/hyperlink" Target="https://indiaai.gov.in/?form=MG0AV3" TargetMode="External"/><Relationship Id="rId102" Type="http://schemas.openxmlformats.org/officeDocument/2006/relationships/hyperlink" Target="https://www.aiia-ai.org/col.jsp?id=200" TargetMode="External"/><Relationship Id="rId123" Type="http://schemas.openxmlformats.org/officeDocument/2006/relationships/hyperlink" Target="https://ai.google/responsibility/principles/" TargetMode="External"/><Relationship Id="rId144" Type="http://schemas.openxmlformats.org/officeDocument/2006/relationships/hyperlink" Target="https://unesdoc.unesco.org/ark:/48223/pf0000253952?form=MG0AV3" TargetMode="External"/><Relationship Id="rId90" Type="http://schemas.openxmlformats.org/officeDocument/2006/relationships/hyperlink" Target="https://www.aiia-ai.org/col.jsp?id=200" TargetMode="External"/><Relationship Id="rId165" Type="http://schemas.openxmlformats.org/officeDocument/2006/relationships/hyperlink" Target="https://www.gov.uk/government/publications/national-ai-strategy?form=MG0AV3" TargetMode="External"/><Relationship Id="rId186" Type="http://schemas.openxmlformats.org/officeDocument/2006/relationships/hyperlink" Target="https://aws.amazon.com/ai/responsible-ai/" TargetMode="External"/><Relationship Id="rId27" Type="http://schemas.openxmlformats.org/officeDocument/2006/relationships/hyperlink" Target="https://web.cs.toronto.edu/research/artificial-intelligence" TargetMode="External"/><Relationship Id="rId48" Type="http://schemas.openxmlformats.org/officeDocument/2006/relationships/hyperlink" Target="https://aiig.tsinghua.edu.cn/en/Publications/Papers/1.htm" TargetMode="External"/><Relationship Id="rId69" Type="http://schemas.openxmlformats.org/officeDocument/2006/relationships/hyperlink" Target="https://www.scu.edu/ethics-spotlight/generative-ai-ethics/?form=MG0AV3" TargetMode="External"/><Relationship Id="rId113" Type="http://schemas.openxmlformats.org/officeDocument/2006/relationships/hyperlink" Target="https://t20argentina.org/wp-content/uploads/2018/09/Bridges-to-the-Future-of-Education-Policy-Recommendations-for-the-Digital-Age.pdf?form=MG0AV3" TargetMode="External"/><Relationship Id="rId134" Type="http://schemas.openxmlformats.org/officeDocument/2006/relationships/hyperlink" Target="https://research-and-innovation.ec.europa.eu/knowledge-publications-tools-and-data/publications/all-publications/ege-statements_en?form=MG0AV3" TargetMode="External"/><Relationship Id="rId80" Type="http://schemas.openxmlformats.org/officeDocument/2006/relationships/hyperlink" Target="https://iisc.ac.in/about/student-corner/academic-integrity/" TargetMode="External"/><Relationship Id="rId155" Type="http://schemas.openxmlformats.org/officeDocument/2006/relationships/hyperlink" Target="https://www.meti.go.jp/english/press/2022/0128_003.html" TargetMode="External"/><Relationship Id="rId176" Type="http://schemas.openxmlformats.org/officeDocument/2006/relationships/hyperlink" Target="https://www.oxfordmartin.ox.ac.uk/ai-governance" TargetMode="External"/><Relationship Id="rId17" Type="http://schemas.openxmlformats.org/officeDocument/2006/relationships/hyperlink" Target="https://www.accenture.com/us-en/insights/artificial-intelligence/responsible-ai-principles-practice?form=MG0AV3" TargetMode="External"/><Relationship Id="rId38" Type="http://schemas.openxmlformats.org/officeDocument/2006/relationships/hyperlink" Target="https://oecd.ai/en/catalogue/tools/sony-group-ai-ethics-guidelines?form=MG0AV3" TargetMode="External"/><Relationship Id="rId59" Type="http://schemas.openxmlformats.org/officeDocument/2006/relationships/hyperlink" Target="https://ai-watch.ec.europa.eu/countries/france/france-ai-strategy-report_en?form=MG0AV3" TargetMode="External"/><Relationship Id="rId103" Type="http://schemas.openxmlformats.org/officeDocument/2006/relationships/hyperlink" Target="https://www.aiia-ai.org/col.jsp?id=200" TargetMode="External"/><Relationship Id="rId124" Type="http://schemas.openxmlformats.org/officeDocument/2006/relationships/hyperlink" Target="https://www.newamerica.org/cybersecurity-initiative/digichina/blog/translation-chinese-expert-group-offers-governance-principles-responsible-ai/?form=MG0AV3" TargetMode="External"/><Relationship Id="rId70" Type="http://schemas.openxmlformats.org/officeDocument/2006/relationships/hyperlink" Target="https://www.din.de/resource/blob/916798/ed09ae58b60f0d3a498fa90fa5085b7c/nrm-ki-engl-2023-final-web-250-neu-data.pdf?form=MG0AV3" TargetMode="External"/><Relationship Id="rId91" Type="http://schemas.openxmlformats.org/officeDocument/2006/relationships/hyperlink" Target="https://www.aiia-ai.org/col.jsp?id=200" TargetMode="External"/><Relationship Id="rId145" Type="http://schemas.openxmlformats.org/officeDocument/2006/relationships/hyperlink" Target="https://www.ey.com/en_nl/insights/climate-change-sustainability-services/ai-and-sustainability-opportunities-challenges-and-impact?form=MG0AV3" TargetMode="External"/><Relationship Id="rId166" Type="http://schemas.openxmlformats.org/officeDocument/2006/relationships/hyperlink" Target="https://assets.publishing.service.gov.uk/media/614db4d1e90e077a2cbdf3c4/National_AI_Strategy_-_PDF_version.pdf" TargetMode="External"/><Relationship Id="rId187" Type="http://schemas.openxmlformats.org/officeDocument/2006/relationships/hyperlink" Target="https://www.pwc.com/gx/en/services/ai/responsible-ai.html?form=MG0AV3" TargetMode="External"/><Relationship Id="rId1" Type="http://schemas.openxmlformats.org/officeDocument/2006/relationships/hyperlink" Target="https://cyber.harvard.edu/publication/2020/principled-ai?form=MG0AV3" TargetMode="External"/><Relationship Id="rId28" Type="http://schemas.openxmlformats.org/officeDocument/2006/relationships/hyperlink" Target="https://www.ki-strategie-deutschland.de/files/downloads/Fortschreibung_KI-Strategie_engl.pdf" TargetMode="External"/><Relationship Id="rId49" Type="http://schemas.openxmlformats.org/officeDocument/2006/relationships/hyperlink" Target="https://eur-lex.europa.eu/legal-content/EN/TXT/?uri=CELEX:32024R1689" TargetMode="External"/><Relationship Id="rId114" Type="http://schemas.openxmlformats.org/officeDocument/2006/relationships/hyperlink" Target="https://blog.investchile.gob.cl/chile-ethical-artificial-intelligence?form=MG0AV3&amp;form=MG0AV3" TargetMode="External"/><Relationship Id="rId60" Type="http://schemas.openxmlformats.org/officeDocument/2006/relationships/hyperlink" Target="https://knowledge4policy.ec.europa.eu/sites/default/files/france-ai-strategy-report.pdf?form=MG0AV3" TargetMode="External"/><Relationship Id="rId81" Type="http://schemas.openxmlformats.org/officeDocument/2006/relationships/hyperlink" Target="https://connect.iisc.ac.in/2021/09/the-moral-scientist/" TargetMode="External"/><Relationship Id="rId135" Type="http://schemas.openxmlformats.org/officeDocument/2006/relationships/hyperlink" Target="https://standards.ieee.org/wp-content/uploads/import/documents/other/ead_v2.pdf" TargetMode="External"/><Relationship Id="rId156" Type="http://schemas.openxmlformats.org/officeDocument/2006/relationships/hyperlink" Target="https://futureoflife.org/religion/ai-in-jewish-thought/" TargetMode="External"/><Relationship Id="rId177" Type="http://schemas.openxmlformats.org/officeDocument/2006/relationships/hyperlink" Target="https://aigi.ox.ac.uk/researches/international-ai-governance/"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ww.alignmentforum.org/" TargetMode="External"/><Relationship Id="rId2" Type="http://schemas.openxmlformats.org/officeDocument/2006/relationships/hyperlink" Target="https://aisafetyfundamentals.com/" TargetMode="External"/><Relationship Id="rId1" Type="http://schemas.openxmlformats.org/officeDocument/2006/relationships/hyperlink" Target="https://rohinshah.com/alignment-newsletter/" TargetMode="External"/><Relationship Id="rId4" Type="http://schemas.openxmlformats.org/officeDocument/2006/relationships/hyperlink" Target="https://www.anthropic.com/news/claudes-constitution"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9D72-6DDF-4228-A6AA-744AAD9FBF67}">
  <sheetPr codeName="Sheet1"/>
  <dimension ref="A1:AC161"/>
  <sheetViews>
    <sheetView workbookViewId="0">
      <pane xSplit="1" ySplit="1" topLeftCell="H7" activePane="bottomRight" state="frozen"/>
      <selection pane="topRight" activeCell="B1" sqref="B1"/>
      <selection pane="bottomLeft" activeCell="A2" sqref="A2"/>
      <selection pane="bottomRight" activeCell="O2" sqref="O2"/>
    </sheetView>
  </sheetViews>
  <sheetFormatPr defaultRowHeight="14.4" x14ac:dyDescent="0.3"/>
  <cols>
    <col min="1" max="1" width="50.6640625" customWidth="1"/>
    <col min="2" max="2" width="1.6640625" customWidth="1"/>
    <col min="3" max="3" width="67.6640625" customWidth="1"/>
    <col min="4" max="4" width="1.6640625" customWidth="1"/>
    <col min="5" max="5" width="67.6640625" customWidth="1"/>
    <col min="6" max="6" width="1.6640625" customWidth="1"/>
    <col min="7" max="7" width="67.6640625" customWidth="1"/>
    <col min="8" max="8" width="1.6640625" customWidth="1"/>
    <col min="9" max="9" width="67.6640625" customWidth="1"/>
    <col min="10" max="10" width="1.6640625" customWidth="1"/>
    <col min="11" max="11" width="61.109375" customWidth="1"/>
    <col min="12" max="12" width="1.6640625" customWidth="1"/>
    <col min="13" max="13" width="50.6640625" customWidth="1"/>
    <col min="14" max="14" width="1.6640625" customWidth="1"/>
    <col min="15" max="15" width="50.6640625" customWidth="1"/>
    <col min="16" max="16" width="1.6640625" customWidth="1"/>
    <col min="17" max="17" width="50.6640625" customWidth="1"/>
    <col min="18" max="18" width="1.6640625" customWidth="1"/>
    <col min="19" max="19" width="50.6640625" customWidth="1"/>
    <col min="20" max="20" width="1.6640625" customWidth="1"/>
    <col min="21" max="21" width="50.6640625" customWidth="1"/>
    <col min="22" max="22" width="1.6640625" customWidth="1"/>
    <col min="23" max="23" width="50.6640625" customWidth="1"/>
    <col min="24" max="24" width="1.6640625" customWidth="1"/>
    <col min="25" max="25" width="50.6640625" customWidth="1"/>
    <col min="26" max="26" width="1.6640625" customWidth="1"/>
    <col min="27" max="27" width="50.6640625" customWidth="1"/>
    <col min="28" max="28" width="1.6640625" customWidth="1"/>
    <col min="29" max="29" width="50.6640625" customWidth="1"/>
    <col min="30" max="30" width="8.88671875" customWidth="1"/>
  </cols>
  <sheetData>
    <row r="1" spans="1:29" ht="90.6" thickBot="1" x14ac:dyDescent="0.35">
      <c r="A1" s="11" t="s">
        <v>522</v>
      </c>
      <c r="B1" s="34"/>
      <c r="C1" s="11" t="s">
        <v>551</v>
      </c>
      <c r="D1" s="34"/>
      <c r="E1" s="11" t="s">
        <v>27</v>
      </c>
      <c r="F1" s="34"/>
      <c r="G1" s="11" t="s">
        <v>549</v>
      </c>
      <c r="H1" s="34"/>
      <c r="I1" s="11" t="s">
        <v>28</v>
      </c>
      <c r="J1" s="34"/>
      <c r="K1" s="14" t="s">
        <v>519</v>
      </c>
      <c r="L1" s="34"/>
      <c r="M1" s="14" t="s">
        <v>29</v>
      </c>
      <c r="N1" s="34"/>
      <c r="O1" s="14" t="s">
        <v>540</v>
      </c>
      <c r="P1" s="34"/>
      <c r="Q1" s="14" t="s">
        <v>30</v>
      </c>
      <c r="R1" s="34"/>
      <c r="S1" s="14" t="s">
        <v>31</v>
      </c>
      <c r="T1" s="34"/>
      <c r="U1" s="30" t="s">
        <v>32</v>
      </c>
      <c r="V1" s="34"/>
      <c r="W1" s="14" t="s">
        <v>524</v>
      </c>
      <c r="X1" s="34"/>
      <c r="Y1" s="14" t="s">
        <v>33</v>
      </c>
      <c r="Z1" s="34"/>
      <c r="AA1" s="14" t="s">
        <v>34</v>
      </c>
      <c r="AB1" s="34"/>
      <c r="AC1" s="14" t="s">
        <v>35</v>
      </c>
    </row>
    <row r="2" spans="1:29" ht="409.6" thickBot="1" x14ac:dyDescent="0.35">
      <c r="A2" s="10" t="s">
        <v>523</v>
      </c>
      <c r="B2" s="35"/>
      <c r="C2" s="19" t="s">
        <v>36</v>
      </c>
      <c r="D2" s="35"/>
      <c r="E2" s="8" t="s">
        <v>37</v>
      </c>
      <c r="F2" s="35"/>
      <c r="G2" s="10" t="s">
        <v>38</v>
      </c>
      <c r="H2" s="35"/>
      <c r="I2" s="10" t="s">
        <v>39</v>
      </c>
      <c r="J2" s="35"/>
      <c r="K2" s="10" t="s">
        <v>40</v>
      </c>
      <c r="L2" s="35"/>
      <c r="M2" s="10" t="s">
        <v>41</v>
      </c>
      <c r="N2" s="35"/>
      <c r="O2" s="10" t="s">
        <v>645</v>
      </c>
      <c r="P2" s="35"/>
      <c r="Q2" s="10" t="s">
        <v>42</v>
      </c>
      <c r="R2" s="35"/>
      <c r="S2" s="10" t="s">
        <v>43</v>
      </c>
      <c r="T2" s="35"/>
      <c r="U2" s="10" t="s">
        <v>44</v>
      </c>
      <c r="V2" s="35"/>
      <c r="W2" s="10" t="s">
        <v>525</v>
      </c>
      <c r="X2" s="35"/>
      <c r="Y2" s="10" t="s">
        <v>45</v>
      </c>
      <c r="Z2" s="35"/>
      <c r="AA2" s="10" t="s">
        <v>46</v>
      </c>
      <c r="AB2" s="35"/>
    </row>
    <row r="3" spans="1:29" ht="72" x14ac:dyDescent="0.3">
      <c r="A3" s="18" t="s">
        <v>49</v>
      </c>
      <c r="B3" s="36"/>
      <c r="C3" s="18" t="s">
        <v>47</v>
      </c>
      <c r="D3" s="36"/>
      <c r="E3" s="18" t="s">
        <v>48</v>
      </c>
      <c r="F3" s="36"/>
      <c r="G3" s="18" t="s">
        <v>48</v>
      </c>
      <c r="H3" s="36"/>
      <c r="I3" s="10"/>
      <c r="J3" s="36"/>
      <c r="K3" s="10"/>
      <c r="L3" s="36"/>
      <c r="M3" s="10"/>
      <c r="N3" s="36"/>
      <c r="O3" s="9" t="s">
        <v>541</v>
      </c>
      <c r="P3" s="36"/>
      <c r="Q3" s="10"/>
      <c r="R3" s="36"/>
      <c r="S3" s="10"/>
      <c r="T3" s="36"/>
      <c r="U3" s="10"/>
      <c r="V3" s="36"/>
      <c r="W3" s="16" t="s">
        <v>526</v>
      </c>
      <c r="X3" s="36"/>
      <c r="Y3" s="10"/>
      <c r="Z3" s="36"/>
      <c r="AA3" s="10"/>
      <c r="AB3" s="36"/>
    </row>
    <row r="4" spans="1:29" ht="129.6" x14ac:dyDescent="0.3">
      <c r="A4" s="33" t="s">
        <v>49</v>
      </c>
      <c r="B4" s="37"/>
      <c r="C4" s="33" t="s">
        <v>50</v>
      </c>
      <c r="D4" s="37"/>
      <c r="E4" s="33" t="s">
        <v>51</v>
      </c>
      <c r="F4" s="37"/>
      <c r="G4" s="33" t="s">
        <v>52</v>
      </c>
      <c r="H4" s="37"/>
      <c r="I4" s="21" t="s">
        <v>23</v>
      </c>
      <c r="J4" s="37"/>
      <c r="K4" s="16" t="s">
        <v>1</v>
      </c>
      <c r="L4" s="37"/>
      <c r="M4" s="16" t="s">
        <v>53</v>
      </c>
      <c r="N4" s="37"/>
      <c r="O4" s="10"/>
      <c r="P4" s="37"/>
      <c r="Q4" s="10" t="s">
        <v>54</v>
      </c>
      <c r="R4" s="37"/>
      <c r="S4" s="10" t="s">
        <v>55</v>
      </c>
      <c r="T4" s="37"/>
      <c r="U4" s="10" t="s">
        <v>56</v>
      </c>
      <c r="V4" s="37"/>
      <c r="W4" s="10" t="s">
        <v>527</v>
      </c>
      <c r="X4" s="37"/>
      <c r="Y4" s="10" t="s">
        <v>57</v>
      </c>
      <c r="Z4" s="37"/>
      <c r="AA4" s="29" t="s">
        <v>58</v>
      </c>
      <c r="AB4" s="37"/>
    </row>
    <row r="5" spans="1:29" ht="144" x14ac:dyDescent="0.3">
      <c r="A5" s="9" t="s">
        <v>59</v>
      </c>
      <c r="B5" s="35"/>
      <c r="C5" s="31" t="s">
        <v>7</v>
      </c>
      <c r="D5" s="35"/>
      <c r="E5" s="7" t="s">
        <v>10</v>
      </c>
      <c r="F5" s="35"/>
      <c r="G5" s="50" t="s">
        <v>60</v>
      </c>
      <c r="H5" s="35"/>
      <c r="I5" s="13" t="s">
        <v>61</v>
      </c>
      <c r="J5" s="35"/>
      <c r="K5" s="10" t="s">
        <v>62</v>
      </c>
      <c r="L5" s="35"/>
      <c r="M5" s="10" t="s">
        <v>63</v>
      </c>
      <c r="N5" s="35"/>
      <c r="O5" s="9" t="s">
        <v>542</v>
      </c>
      <c r="P5" s="35"/>
      <c r="Q5" s="10" t="s">
        <v>64</v>
      </c>
      <c r="R5" s="35"/>
      <c r="S5" s="10" t="s">
        <v>65</v>
      </c>
      <c r="T5" s="35"/>
      <c r="U5" s="1" t="s">
        <v>66</v>
      </c>
      <c r="V5" s="35"/>
      <c r="W5" s="16" t="s">
        <v>528</v>
      </c>
      <c r="X5" s="35"/>
      <c r="Y5" s="10" t="s">
        <v>67</v>
      </c>
      <c r="Z5" s="35"/>
      <c r="AA5" s="27" t="s">
        <v>68</v>
      </c>
      <c r="AB5" s="35"/>
      <c r="AC5" s="10" t="s">
        <v>69</v>
      </c>
    </row>
    <row r="6" spans="1:29" ht="216" x14ac:dyDescent="0.3">
      <c r="A6" s="10" t="s">
        <v>70</v>
      </c>
      <c r="B6" s="37"/>
      <c r="C6" s="8" t="s">
        <v>71</v>
      </c>
      <c r="D6" s="37"/>
      <c r="E6" s="8" t="s">
        <v>72</v>
      </c>
      <c r="F6" s="37"/>
      <c r="G6" s="49"/>
      <c r="H6" s="37"/>
      <c r="I6" s="21" t="s">
        <v>17</v>
      </c>
      <c r="J6" s="37"/>
      <c r="K6" s="9" t="s">
        <v>73</v>
      </c>
      <c r="L6" s="37"/>
      <c r="M6" s="16" t="s">
        <v>74</v>
      </c>
      <c r="N6" s="37"/>
      <c r="O6" s="10"/>
      <c r="P6" s="37"/>
      <c r="Q6" s="10" t="s">
        <v>75</v>
      </c>
      <c r="R6" s="37"/>
      <c r="S6" s="9" t="s">
        <v>76</v>
      </c>
      <c r="T6" s="37"/>
      <c r="U6" s="10" t="s">
        <v>77</v>
      </c>
      <c r="V6" s="37"/>
      <c r="W6" s="1" t="s">
        <v>529</v>
      </c>
      <c r="X6" s="37"/>
      <c r="Y6" s="1" t="s">
        <v>78</v>
      </c>
      <c r="Z6" s="37"/>
      <c r="AA6" s="1" t="s">
        <v>79</v>
      </c>
      <c r="AB6" s="37"/>
    </row>
    <row r="7" spans="1:29" ht="115.2" x14ac:dyDescent="0.3">
      <c r="A7" s="9" t="s">
        <v>80</v>
      </c>
      <c r="B7" s="35"/>
      <c r="C7" s="7" t="s">
        <v>3</v>
      </c>
      <c r="D7" s="35"/>
      <c r="E7" s="7" t="s">
        <v>19</v>
      </c>
      <c r="F7" s="35"/>
      <c r="G7" s="9" t="s">
        <v>81</v>
      </c>
      <c r="H7" s="35"/>
      <c r="I7" s="13" t="s">
        <v>82</v>
      </c>
      <c r="J7" s="35"/>
      <c r="K7" s="10" t="s">
        <v>83</v>
      </c>
      <c r="L7" s="35"/>
      <c r="M7" s="10" t="s">
        <v>84</v>
      </c>
      <c r="N7" s="35"/>
      <c r="O7" s="9" t="s">
        <v>543</v>
      </c>
      <c r="P7" s="35"/>
      <c r="Q7" s="10" t="s">
        <v>85</v>
      </c>
      <c r="R7" s="35"/>
      <c r="S7" s="10" t="s">
        <v>86</v>
      </c>
      <c r="T7" s="35"/>
      <c r="U7" s="10" t="s">
        <v>87</v>
      </c>
      <c r="V7" s="35"/>
      <c r="W7" s="16" t="s">
        <v>530</v>
      </c>
      <c r="X7" s="35"/>
      <c r="Y7" s="10" t="s">
        <v>88</v>
      </c>
      <c r="Z7" s="35"/>
      <c r="AA7" s="29" t="s">
        <v>89</v>
      </c>
      <c r="AB7" s="35"/>
    </row>
    <row r="8" spans="1:29" ht="409.6" x14ac:dyDescent="0.3">
      <c r="A8" s="10" t="s">
        <v>90</v>
      </c>
      <c r="B8" s="37"/>
      <c r="C8" s="8" t="s">
        <v>515</v>
      </c>
      <c r="D8" s="37"/>
      <c r="E8" s="8" t="s">
        <v>91</v>
      </c>
      <c r="F8" s="37"/>
      <c r="G8" s="8" t="s">
        <v>92</v>
      </c>
      <c r="H8" s="37"/>
      <c r="I8" s="21" t="s">
        <v>15</v>
      </c>
      <c r="J8" s="37"/>
      <c r="K8" s="15" t="s">
        <v>93</v>
      </c>
      <c r="L8" s="37"/>
      <c r="M8" s="16" t="s">
        <v>2</v>
      </c>
      <c r="N8" s="37"/>
      <c r="O8" s="10"/>
      <c r="P8" s="37"/>
      <c r="Q8" s="10" t="s">
        <v>94</v>
      </c>
      <c r="R8" s="37"/>
      <c r="S8" s="10" t="s">
        <v>95</v>
      </c>
      <c r="T8" s="37"/>
      <c r="V8" s="37"/>
      <c r="W8" s="10" t="s">
        <v>531</v>
      </c>
      <c r="X8" s="37"/>
      <c r="Y8" s="1"/>
      <c r="Z8" s="37"/>
      <c r="AA8" s="27" t="s">
        <v>96</v>
      </c>
      <c r="AB8" s="37"/>
      <c r="AC8" s="1" t="s">
        <v>97</v>
      </c>
    </row>
    <row r="9" spans="1:29" ht="86.4" x14ac:dyDescent="0.3">
      <c r="A9" s="9" t="s">
        <v>98</v>
      </c>
      <c r="B9" s="35"/>
      <c r="C9" s="7" t="s">
        <v>99</v>
      </c>
      <c r="D9" s="35"/>
      <c r="E9" s="7" t="s">
        <v>13</v>
      </c>
      <c r="F9" s="35"/>
      <c r="G9" s="7" t="s">
        <v>100</v>
      </c>
      <c r="H9" s="35"/>
      <c r="I9" s="13" t="s">
        <v>101</v>
      </c>
      <c r="J9" s="35"/>
      <c r="K9" s="10" t="s">
        <v>102</v>
      </c>
      <c r="L9" s="35"/>
      <c r="M9" s="10" t="s">
        <v>103</v>
      </c>
      <c r="N9" s="35"/>
      <c r="O9" s="9" t="s">
        <v>2</v>
      </c>
      <c r="P9" s="35"/>
      <c r="Q9" s="10" t="s">
        <v>104</v>
      </c>
      <c r="R9" s="35"/>
      <c r="S9" s="10" t="s">
        <v>105</v>
      </c>
      <c r="T9" s="35"/>
      <c r="V9" s="35"/>
      <c r="W9" s="9" t="s">
        <v>532</v>
      </c>
      <c r="X9" s="35"/>
      <c r="Y9" s="10" t="s">
        <v>520</v>
      </c>
      <c r="Z9" s="35"/>
      <c r="AA9" s="27" t="s">
        <v>106</v>
      </c>
      <c r="AB9" s="35"/>
    </row>
    <row r="10" spans="1:29" ht="216" x14ac:dyDescent="0.3">
      <c r="A10" s="10" t="s">
        <v>107</v>
      </c>
      <c r="B10" s="37"/>
      <c r="C10" s="8" t="s">
        <v>108</v>
      </c>
      <c r="D10" s="37"/>
      <c r="E10" s="8" t="s">
        <v>109</v>
      </c>
      <c r="F10" s="37"/>
      <c r="G10" s="8" t="s">
        <v>110</v>
      </c>
      <c r="H10" s="37"/>
      <c r="I10" s="21" t="s">
        <v>111</v>
      </c>
      <c r="J10" s="37"/>
      <c r="K10" s="16" t="s">
        <v>25</v>
      </c>
      <c r="L10" s="37"/>
      <c r="N10" s="37"/>
      <c r="O10" s="10"/>
      <c r="P10" s="37"/>
      <c r="Q10" s="10" t="s">
        <v>112</v>
      </c>
      <c r="R10" s="37"/>
      <c r="S10" s="10" t="s">
        <v>113</v>
      </c>
      <c r="T10" s="37"/>
      <c r="V10" s="37"/>
      <c r="W10" s="10" t="s">
        <v>533</v>
      </c>
      <c r="X10" s="37"/>
      <c r="Z10" s="37"/>
      <c r="AA10" s="29" t="s">
        <v>114</v>
      </c>
      <c r="AB10" s="37"/>
    </row>
    <row r="11" spans="1:29" ht="158.4" x14ac:dyDescent="0.3">
      <c r="A11" s="9" t="s">
        <v>115</v>
      </c>
      <c r="B11" s="35"/>
      <c r="C11" s="7" t="s">
        <v>116</v>
      </c>
      <c r="D11" s="35"/>
      <c r="E11" s="9" t="s">
        <v>117</v>
      </c>
      <c r="F11" s="35"/>
      <c r="G11" s="7" t="s">
        <v>118</v>
      </c>
      <c r="H11" s="35"/>
      <c r="I11" s="13" t="s">
        <v>119</v>
      </c>
      <c r="J11" s="35"/>
      <c r="K11" s="10" t="s">
        <v>120</v>
      </c>
      <c r="L11" s="35"/>
      <c r="N11" s="35"/>
      <c r="O11" s="9" t="s">
        <v>544</v>
      </c>
      <c r="P11" s="35"/>
      <c r="R11" s="35"/>
      <c r="T11" s="35"/>
      <c r="V11" s="35"/>
      <c r="W11" s="16" t="s">
        <v>534</v>
      </c>
      <c r="X11" s="35"/>
      <c r="Z11" s="35"/>
      <c r="AA11" s="28" t="s">
        <v>121</v>
      </c>
      <c r="AB11" s="35"/>
      <c r="AC11" s="1" t="s">
        <v>122</v>
      </c>
    </row>
    <row r="12" spans="1:29" ht="201.6" x14ac:dyDescent="0.3">
      <c r="A12" s="10" t="s">
        <v>123</v>
      </c>
      <c r="B12" s="36"/>
      <c r="C12" s="8" t="s">
        <v>124</v>
      </c>
      <c r="D12" s="36"/>
      <c r="E12" s="8" t="s">
        <v>125</v>
      </c>
      <c r="F12" s="36"/>
      <c r="G12" s="8" t="s">
        <v>126</v>
      </c>
      <c r="H12" s="36"/>
      <c r="I12" s="21" t="s">
        <v>6</v>
      </c>
      <c r="J12" s="36"/>
      <c r="K12" s="9" t="s">
        <v>14</v>
      </c>
      <c r="L12" s="36"/>
      <c r="N12" s="36"/>
      <c r="P12" s="36"/>
      <c r="R12" s="36"/>
      <c r="T12" s="36"/>
      <c r="V12" s="36"/>
      <c r="W12" s="10" t="s">
        <v>535</v>
      </c>
      <c r="X12" s="36"/>
      <c r="Z12" s="36"/>
      <c r="AA12" s="28" t="s">
        <v>127</v>
      </c>
      <c r="AB12" s="36"/>
    </row>
    <row r="13" spans="1:29" ht="72" x14ac:dyDescent="0.3">
      <c r="A13" s="9" t="s">
        <v>552</v>
      </c>
      <c r="B13" s="37"/>
      <c r="C13" s="7" t="s">
        <v>20</v>
      </c>
      <c r="D13" s="37"/>
      <c r="E13" s="9" t="s">
        <v>128</v>
      </c>
      <c r="F13" s="37"/>
      <c r="G13" s="9" t="s">
        <v>129</v>
      </c>
      <c r="H13" s="37"/>
      <c r="I13" s="13" t="s">
        <v>130</v>
      </c>
      <c r="J13" s="37"/>
      <c r="K13" s="10"/>
      <c r="L13" s="37"/>
      <c r="N13" s="37"/>
      <c r="O13" s="9" t="s">
        <v>224</v>
      </c>
      <c r="P13" s="37"/>
      <c r="R13" s="37"/>
      <c r="T13" s="37"/>
      <c r="V13" s="37"/>
      <c r="W13" s="16" t="s">
        <v>536</v>
      </c>
      <c r="X13" s="37"/>
      <c r="Z13" s="37"/>
      <c r="AA13" s="29" t="s">
        <v>131</v>
      </c>
      <c r="AB13" s="37"/>
    </row>
    <row r="14" spans="1:29" ht="172.8" x14ac:dyDescent="0.3">
      <c r="A14" s="10" t="s">
        <v>132</v>
      </c>
      <c r="B14" s="35"/>
      <c r="C14" s="8" t="s">
        <v>133</v>
      </c>
      <c r="D14" s="35"/>
      <c r="E14" s="8" t="s">
        <v>134</v>
      </c>
      <c r="F14" s="35"/>
      <c r="G14" s="8" t="s">
        <v>135</v>
      </c>
      <c r="H14" s="35"/>
      <c r="I14" s="21" t="s">
        <v>136</v>
      </c>
      <c r="J14" s="35"/>
      <c r="K14" s="9" t="s">
        <v>21</v>
      </c>
      <c r="L14" s="35"/>
      <c r="N14" s="35"/>
      <c r="P14" s="35"/>
      <c r="R14" s="35"/>
      <c r="T14" s="35"/>
      <c r="V14" s="35"/>
      <c r="W14" s="10" t="s">
        <v>537</v>
      </c>
      <c r="X14" s="35"/>
      <c r="Z14" s="35"/>
      <c r="AA14" s="23" t="s">
        <v>137</v>
      </c>
      <c r="AB14" s="35"/>
      <c r="AC14" s="1" t="s">
        <v>138</v>
      </c>
    </row>
    <row r="15" spans="1:29" ht="100.8" x14ac:dyDescent="0.3">
      <c r="A15" s="18" t="s">
        <v>139</v>
      </c>
      <c r="B15" s="37"/>
      <c r="C15" s="18" t="s">
        <v>140</v>
      </c>
      <c r="D15" s="37"/>
      <c r="E15" s="48" t="s">
        <v>141</v>
      </c>
      <c r="F15" s="37"/>
      <c r="G15" s="18" t="s">
        <v>142</v>
      </c>
      <c r="H15" s="37"/>
      <c r="I15" s="13" t="s">
        <v>143</v>
      </c>
      <c r="J15" s="37"/>
      <c r="K15" s="10" t="s">
        <v>144</v>
      </c>
      <c r="L15" s="37"/>
      <c r="N15" s="37"/>
      <c r="P15" s="37"/>
      <c r="R15" s="37"/>
      <c r="T15" s="37"/>
      <c r="V15" s="37"/>
      <c r="X15" s="37"/>
      <c r="Z15" s="37"/>
      <c r="AA15" s="28" t="s">
        <v>145</v>
      </c>
      <c r="AB15" s="37"/>
    </row>
    <row r="16" spans="1:29" ht="129.6" x14ac:dyDescent="0.3">
      <c r="A16" s="33" t="s">
        <v>146</v>
      </c>
      <c r="B16" s="35"/>
      <c r="C16" s="33" t="s">
        <v>147</v>
      </c>
      <c r="D16" s="35"/>
      <c r="E16" s="46" t="s">
        <v>148</v>
      </c>
      <c r="F16" s="35"/>
      <c r="G16" s="33" t="s">
        <v>149</v>
      </c>
      <c r="H16" s="35"/>
      <c r="I16" s="21" t="s">
        <v>150</v>
      </c>
      <c r="J16" s="35"/>
      <c r="K16" s="16" t="s">
        <v>151</v>
      </c>
      <c r="L16" s="35"/>
      <c r="N16" s="35"/>
      <c r="P16" s="35"/>
      <c r="R16" s="35"/>
      <c r="T16" s="35"/>
      <c r="V16" s="35"/>
      <c r="X16" s="35"/>
      <c r="Z16" s="35"/>
      <c r="AA16" s="29" t="s">
        <v>152</v>
      </c>
      <c r="AB16" s="35"/>
    </row>
    <row r="17" spans="1:29" ht="216" x14ac:dyDescent="0.3">
      <c r="A17" s="9" t="s">
        <v>153</v>
      </c>
      <c r="B17" s="37"/>
      <c r="C17" s="7" t="s">
        <v>154</v>
      </c>
      <c r="D17" s="37"/>
      <c r="E17" s="47" t="s">
        <v>155</v>
      </c>
      <c r="F17" s="37"/>
      <c r="G17" s="9" t="s">
        <v>156</v>
      </c>
      <c r="H17" s="37"/>
      <c r="I17" s="8" t="s">
        <v>157</v>
      </c>
      <c r="J17" s="37"/>
      <c r="K17" s="10" t="s">
        <v>158</v>
      </c>
      <c r="L17" s="37"/>
      <c r="N17" s="37"/>
      <c r="P17" s="37"/>
      <c r="R17" s="37"/>
      <c r="T17" s="37"/>
      <c r="V17" s="37"/>
      <c r="X17" s="37"/>
      <c r="Z17" s="37"/>
      <c r="AA17" s="23" t="s">
        <v>159</v>
      </c>
      <c r="AB17" s="37"/>
      <c r="AC17" s="1" t="s">
        <v>160</v>
      </c>
    </row>
    <row r="18" spans="1:29" ht="158.4" x14ac:dyDescent="0.3">
      <c r="A18" s="10" t="s">
        <v>161</v>
      </c>
      <c r="B18" s="35"/>
      <c r="C18" s="8" t="s">
        <v>162</v>
      </c>
      <c r="D18" s="35"/>
      <c r="E18" s="46" t="s">
        <v>163</v>
      </c>
      <c r="F18" s="35"/>
      <c r="G18" s="8" t="s">
        <v>164</v>
      </c>
      <c r="H18" s="35"/>
      <c r="I18" s="21" t="s">
        <v>13</v>
      </c>
      <c r="J18" s="35"/>
      <c r="K18" s="16" t="s">
        <v>165</v>
      </c>
      <c r="L18" s="35"/>
      <c r="N18" s="35"/>
      <c r="P18" s="35"/>
      <c r="R18" s="35"/>
      <c r="T18" s="35"/>
      <c r="V18" s="35"/>
      <c r="X18" s="35"/>
      <c r="Z18" s="35"/>
      <c r="AA18" s="28" t="s">
        <v>166</v>
      </c>
      <c r="AB18" s="35"/>
    </row>
    <row r="19" spans="1:29" ht="100.8" x14ac:dyDescent="0.3">
      <c r="A19" s="9" t="s">
        <v>167</v>
      </c>
      <c r="B19" s="37"/>
      <c r="C19" s="7" t="s">
        <v>13</v>
      </c>
      <c r="D19" s="37"/>
      <c r="E19" s="18" t="s">
        <v>168</v>
      </c>
      <c r="F19" s="37"/>
      <c r="G19" s="9" t="s">
        <v>169</v>
      </c>
      <c r="H19" s="37"/>
      <c r="I19" s="13" t="s">
        <v>170</v>
      </c>
      <c r="J19" s="37"/>
      <c r="K19" s="10" t="s">
        <v>171</v>
      </c>
      <c r="L19" s="37"/>
      <c r="N19" s="37"/>
      <c r="P19" s="37"/>
      <c r="R19" s="37"/>
      <c r="T19" s="37"/>
      <c r="V19" s="37"/>
      <c r="X19" s="37"/>
      <c r="Z19" s="37"/>
      <c r="AA19" s="29" t="s">
        <v>172</v>
      </c>
      <c r="AB19" s="37"/>
    </row>
    <row r="20" spans="1:29" ht="201.6" x14ac:dyDescent="0.3">
      <c r="A20" s="10" t="s">
        <v>173</v>
      </c>
      <c r="B20" s="35"/>
      <c r="C20" s="8" t="s">
        <v>174</v>
      </c>
      <c r="D20" s="35"/>
      <c r="E20" s="33" t="s">
        <v>175</v>
      </c>
      <c r="F20" s="35"/>
      <c r="G20" s="8" t="s">
        <v>176</v>
      </c>
      <c r="H20" s="35"/>
      <c r="I20" s="21" t="s">
        <v>177</v>
      </c>
      <c r="J20" s="35"/>
      <c r="K20" s="9" t="s">
        <v>15</v>
      </c>
      <c r="L20" s="35"/>
      <c r="N20" s="35"/>
      <c r="P20" s="35"/>
      <c r="R20" s="35"/>
      <c r="T20" s="35"/>
      <c r="V20" s="35"/>
      <c r="X20" s="35"/>
      <c r="Z20" s="35"/>
      <c r="AA20" s="27" t="s">
        <v>178</v>
      </c>
      <c r="AB20" s="35"/>
      <c r="AC20" s="1" t="s">
        <v>179</v>
      </c>
    </row>
    <row r="21" spans="1:29" ht="86.4" x14ac:dyDescent="0.3">
      <c r="A21" s="9" t="s">
        <v>180</v>
      </c>
      <c r="B21" s="35"/>
      <c r="C21" s="7" t="s">
        <v>181</v>
      </c>
      <c r="D21" s="35"/>
      <c r="E21" s="7" t="s">
        <v>7</v>
      </c>
      <c r="F21" s="35"/>
      <c r="G21" s="16" t="s">
        <v>182</v>
      </c>
      <c r="H21" s="35"/>
      <c r="I21" s="13" t="s">
        <v>183</v>
      </c>
      <c r="J21" s="35"/>
      <c r="K21" s="10" t="s">
        <v>184</v>
      </c>
      <c r="L21" s="35"/>
      <c r="N21" s="35"/>
      <c r="P21" s="35"/>
      <c r="R21" s="35"/>
      <c r="T21" s="35"/>
      <c r="V21" s="35"/>
      <c r="X21" s="35"/>
      <c r="Z21" s="35"/>
      <c r="AA21" s="27" t="s">
        <v>185</v>
      </c>
      <c r="AB21" s="35"/>
    </row>
    <row r="22" spans="1:29" ht="216" x14ac:dyDescent="0.3">
      <c r="A22" s="10" t="s">
        <v>186</v>
      </c>
      <c r="B22" s="35"/>
      <c r="C22" s="8" t="s">
        <v>187</v>
      </c>
      <c r="D22" s="35"/>
      <c r="E22" s="46" t="s">
        <v>71</v>
      </c>
      <c r="F22" s="35"/>
      <c r="G22" s="8" t="s">
        <v>188</v>
      </c>
      <c r="H22" s="35"/>
      <c r="I22" s="21" t="s">
        <v>189</v>
      </c>
      <c r="J22" s="35"/>
      <c r="K22" s="10" t="s">
        <v>3</v>
      </c>
      <c r="L22" s="35"/>
      <c r="N22" s="35"/>
      <c r="P22" s="35"/>
      <c r="R22" s="35"/>
      <c r="T22" s="35"/>
      <c r="V22" s="35"/>
      <c r="X22" s="35"/>
      <c r="Z22" s="35"/>
      <c r="AA22" s="29" t="s">
        <v>190</v>
      </c>
      <c r="AB22" s="35"/>
    </row>
    <row r="23" spans="1:29" ht="158.4" x14ac:dyDescent="0.3">
      <c r="A23" s="9" t="s">
        <v>191</v>
      </c>
      <c r="B23" s="37"/>
      <c r="C23" s="7" t="s">
        <v>8</v>
      </c>
      <c r="D23" s="37"/>
      <c r="E23" s="47" t="s">
        <v>2</v>
      </c>
      <c r="F23" s="37"/>
      <c r="G23" s="16" t="s">
        <v>192</v>
      </c>
      <c r="H23" s="37"/>
      <c r="I23" s="13" t="s">
        <v>193</v>
      </c>
      <c r="J23" s="37"/>
      <c r="K23" s="10" t="s">
        <v>194</v>
      </c>
      <c r="L23" s="37"/>
      <c r="N23" s="37"/>
      <c r="P23" s="37"/>
      <c r="R23" s="37"/>
      <c r="T23" s="37"/>
      <c r="V23" s="37"/>
      <c r="X23" s="37"/>
      <c r="Z23" s="37"/>
      <c r="AA23" s="27" t="s">
        <v>195</v>
      </c>
      <c r="AB23" s="37"/>
      <c r="AC23" s="1" t="s">
        <v>196</v>
      </c>
    </row>
    <row r="24" spans="1:29" ht="409.6" x14ac:dyDescent="0.3">
      <c r="A24" s="10" t="s">
        <v>197</v>
      </c>
      <c r="B24" s="35"/>
      <c r="C24" s="8" t="s">
        <v>517</v>
      </c>
      <c r="D24" s="35"/>
      <c r="E24" s="46" t="s">
        <v>198</v>
      </c>
      <c r="F24" s="35"/>
      <c r="G24" s="8" t="s">
        <v>199</v>
      </c>
      <c r="H24" s="35"/>
      <c r="I24" s="38" t="s">
        <v>200</v>
      </c>
      <c r="J24" s="35"/>
      <c r="K24" s="9" t="s">
        <v>17</v>
      </c>
      <c r="L24" s="35"/>
      <c r="N24" s="35"/>
      <c r="P24" s="35"/>
      <c r="R24" s="35"/>
      <c r="T24" s="35"/>
      <c r="V24" s="35"/>
      <c r="X24" s="35"/>
      <c r="Z24" s="35"/>
      <c r="AA24" s="27" t="s">
        <v>201</v>
      </c>
      <c r="AB24" s="35"/>
    </row>
    <row r="25" spans="1:29" ht="57.6" x14ac:dyDescent="0.3">
      <c r="A25" s="9" t="s">
        <v>202</v>
      </c>
      <c r="B25" s="36"/>
      <c r="C25" s="31" t="s">
        <v>5</v>
      </c>
      <c r="D25" s="36"/>
      <c r="E25" s="7" t="s">
        <v>16</v>
      </c>
      <c r="F25" s="36"/>
      <c r="G25" s="18" t="s">
        <v>550</v>
      </c>
      <c r="H25" s="36"/>
      <c r="I25" s="13"/>
      <c r="J25" s="36"/>
      <c r="K25" s="10" t="s">
        <v>203</v>
      </c>
      <c r="L25" s="36"/>
      <c r="N25" s="36"/>
      <c r="P25" s="36"/>
      <c r="R25" s="36"/>
      <c r="T25" s="36"/>
      <c r="V25" s="36"/>
      <c r="X25" s="36"/>
      <c r="Z25" s="36"/>
      <c r="AA25" s="29" t="s">
        <v>204</v>
      </c>
      <c r="AB25" s="36"/>
    </row>
    <row r="26" spans="1:29" ht="187.2" x14ac:dyDescent="0.3">
      <c r="A26" s="10" t="s">
        <v>205</v>
      </c>
      <c r="B26" s="37"/>
      <c r="C26" s="8" t="s">
        <v>206</v>
      </c>
      <c r="D26" s="37"/>
      <c r="E26" s="8" t="s">
        <v>207</v>
      </c>
      <c r="F26" s="37"/>
      <c r="G26" s="33" t="s">
        <v>208</v>
      </c>
      <c r="H26" s="37"/>
      <c r="I26" s="13"/>
      <c r="J26" s="37"/>
      <c r="K26" s="16" t="s">
        <v>209</v>
      </c>
      <c r="L26" s="37"/>
      <c r="N26" s="37"/>
      <c r="P26" s="37"/>
      <c r="R26" s="37"/>
      <c r="T26" s="37"/>
      <c r="V26" s="37"/>
      <c r="X26" s="37"/>
      <c r="Z26" s="37"/>
      <c r="AA26" s="27" t="s">
        <v>210</v>
      </c>
      <c r="AB26" s="37"/>
      <c r="AC26" s="1" t="s">
        <v>211</v>
      </c>
    </row>
    <row r="27" spans="1:29" ht="86.4" x14ac:dyDescent="0.3">
      <c r="A27" s="9" t="s">
        <v>212</v>
      </c>
      <c r="B27" s="35"/>
      <c r="C27" s="31" t="s">
        <v>23</v>
      </c>
      <c r="D27" s="35"/>
      <c r="E27" s="7" t="s">
        <v>1</v>
      </c>
      <c r="F27" s="35"/>
      <c r="G27" s="7" t="s">
        <v>213</v>
      </c>
      <c r="H27" s="35"/>
      <c r="I27" s="13"/>
      <c r="J27" s="35"/>
      <c r="K27" s="20" t="s">
        <v>214</v>
      </c>
      <c r="L27" s="35"/>
      <c r="N27" s="35"/>
      <c r="P27" s="35"/>
      <c r="R27" s="35"/>
      <c r="T27" s="35"/>
      <c r="V27" s="35"/>
      <c r="X27" s="35"/>
      <c r="Z27" s="35"/>
      <c r="AA27" s="27" t="s">
        <v>215</v>
      </c>
      <c r="AB27" s="35"/>
    </row>
    <row r="28" spans="1:29" ht="409.6" x14ac:dyDescent="0.3">
      <c r="A28" s="10" t="s">
        <v>216</v>
      </c>
      <c r="B28" s="37"/>
      <c r="C28" s="8" t="s">
        <v>518</v>
      </c>
      <c r="D28" s="37"/>
      <c r="E28" s="8" t="s">
        <v>217</v>
      </c>
      <c r="F28" s="37"/>
      <c r="G28" s="8" t="s">
        <v>218</v>
      </c>
      <c r="H28" s="37"/>
      <c r="I28" s="13"/>
      <c r="J28" s="37"/>
      <c r="K28" s="9" t="s">
        <v>219</v>
      </c>
      <c r="L28" s="37"/>
      <c r="N28" s="37"/>
      <c r="P28" s="37"/>
      <c r="R28" s="37"/>
      <c r="T28" s="37"/>
      <c r="V28" s="37"/>
      <c r="X28" s="37"/>
      <c r="Z28" s="37"/>
      <c r="AA28" s="27" t="s">
        <v>220</v>
      </c>
      <c r="AB28" s="37"/>
    </row>
    <row r="29" spans="1:29" ht="331.2" x14ac:dyDescent="0.3">
      <c r="A29" s="9" t="s">
        <v>221</v>
      </c>
      <c r="B29" s="35"/>
      <c r="C29" s="18" t="s">
        <v>222</v>
      </c>
      <c r="D29" s="35"/>
      <c r="E29" s="7" t="s">
        <v>223</v>
      </c>
      <c r="F29" s="35"/>
      <c r="G29" s="15" t="s">
        <v>224</v>
      </c>
      <c r="H29" s="35"/>
      <c r="I29" s="13"/>
      <c r="J29" s="35"/>
      <c r="K29" s="10" t="s">
        <v>225</v>
      </c>
      <c r="L29" s="35"/>
      <c r="N29" s="35"/>
      <c r="P29" s="35"/>
      <c r="R29" s="35"/>
      <c r="T29" s="35"/>
      <c r="V29" s="35"/>
      <c r="X29" s="35"/>
      <c r="Z29" s="35"/>
      <c r="AA29" s="10" t="s">
        <v>226</v>
      </c>
      <c r="AB29" s="35"/>
      <c r="AC29" s="1" t="s">
        <v>227</v>
      </c>
    </row>
    <row r="30" spans="1:29" ht="172.8" x14ac:dyDescent="0.3">
      <c r="A30" s="10" t="s">
        <v>228</v>
      </c>
      <c r="B30" s="37"/>
      <c r="C30" s="33" t="s">
        <v>229</v>
      </c>
      <c r="D30" s="37"/>
      <c r="E30" s="8" t="s">
        <v>230</v>
      </c>
      <c r="F30" s="37"/>
      <c r="G30" s="1" t="s">
        <v>231</v>
      </c>
      <c r="H30" s="37"/>
      <c r="I30" s="13"/>
      <c r="J30" s="37"/>
      <c r="K30" s="9" t="s">
        <v>18</v>
      </c>
      <c r="L30" s="37"/>
      <c r="N30" s="37"/>
      <c r="P30" s="37"/>
      <c r="R30" s="37"/>
      <c r="T30" s="37"/>
      <c r="V30" s="37"/>
      <c r="X30" s="37"/>
      <c r="Z30" s="37"/>
      <c r="AB30" s="37"/>
    </row>
    <row r="31" spans="1:29" ht="43.2" x14ac:dyDescent="0.3">
      <c r="A31" s="18" t="s">
        <v>232</v>
      </c>
      <c r="B31" s="35"/>
      <c r="C31" s="7" t="s">
        <v>6</v>
      </c>
      <c r="D31" s="35"/>
      <c r="E31" s="48" t="s">
        <v>233</v>
      </c>
      <c r="F31" s="35"/>
      <c r="G31" s="7" t="s">
        <v>24</v>
      </c>
      <c r="H31" s="35"/>
      <c r="I31" s="13"/>
      <c r="J31" s="35"/>
      <c r="K31" s="10" t="s">
        <v>234</v>
      </c>
      <c r="L31" s="35"/>
      <c r="N31" s="35"/>
      <c r="P31" s="35"/>
      <c r="R31" s="35"/>
      <c r="T31" s="35"/>
      <c r="V31" s="35"/>
      <c r="X31" s="35"/>
      <c r="Z31" s="35"/>
      <c r="AB31" s="35"/>
    </row>
    <row r="32" spans="1:29" ht="158.4" x14ac:dyDescent="0.3">
      <c r="A32" s="33" t="s">
        <v>235</v>
      </c>
      <c r="B32" s="37"/>
      <c r="C32" s="8" t="s">
        <v>236</v>
      </c>
      <c r="D32" s="37"/>
      <c r="E32" s="46" t="s">
        <v>237</v>
      </c>
      <c r="F32" s="37"/>
      <c r="G32" s="8" t="s">
        <v>238</v>
      </c>
      <c r="H32" s="37"/>
      <c r="I32" s="13"/>
      <c r="J32" s="37"/>
      <c r="K32" s="9" t="s">
        <v>239</v>
      </c>
      <c r="L32" s="37"/>
      <c r="N32" s="37"/>
      <c r="P32" s="37"/>
      <c r="R32" s="37"/>
      <c r="T32" s="37"/>
      <c r="V32" s="37"/>
      <c r="X32" s="37"/>
      <c r="Z32" s="37"/>
      <c r="AB32" s="37"/>
    </row>
    <row r="33" spans="1:28" ht="100.8" x14ac:dyDescent="0.3">
      <c r="A33" s="9" t="s">
        <v>240</v>
      </c>
      <c r="B33" s="35"/>
      <c r="C33" s="47" t="s">
        <v>241</v>
      </c>
      <c r="D33" s="35"/>
      <c r="E33" s="18" t="s">
        <v>242</v>
      </c>
      <c r="F33" s="35"/>
      <c r="G33" s="7" t="s">
        <v>243</v>
      </c>
      <c r="H33" s="35"/>
      <c r="I33" s="13"/>
      <c r="J33" s="35"/>
      <c r="K33" s="10" t="s">
        <v>244</v>
      </c>
      <c r="L33" s="35"/>
      <c r="N33" s="35"/>
      <c r="P33" s="35"/>
      <c r="R33" s="35"/>
      <c r="T33" s="35"/>
      <c r="V33" s="35"/>
      <c r="X33" s="35"/>
      <c r="Z33" s="35"/>
      <c r="AB33" s="35"/>
    </row>
    <row r="34" spans="1:28" ht="158.4" x14ac:dyDescent="0.3">
      <c r="A34" s="10" t="s">
        <v>245</v>
      </c>
      <c r="B34" s="37"/>
      <c r="C34" s="46" t="s">
        <v>246</v>
      </c>
      <c r="D34" s="37"/>
      <c r="E34" s="33" t="s">
        <v>175</v>
      </c>
      <c r="F34" s="37"/>
      <c r="G34" s="8" t="s">
        <v>247</v>
      </c>
      <c r="H34" s="37"/>
      <c r="I34" s="9"/>
      <c r="J34" s="37"/>
      <c r="K34" s="16" t="s">
        <v>2</v>
      </c>
      <c r="L34" s="37"/>
      <c r="N34" s="37"/>
      <c r="P34" s="37"/>
      <c r="R34" s="37"/>
      <c r="T34" s="37"/>
      <c r="V34" s="37"/>
      <c r="X34" s="37"/>
      <c r="Z34" s="37"/>
      <c r="AB34" s="37"/>
    </row>
    <row r="35" spans="1:28" ht="86.4" x14ac:dyDescent="0.3">
      <c r="A35" s="9" t="s">
        <v>248</v>
      </c>
      <c r="B35" s="35"/>
      <c r="C35" s="18" t="s">
        <v>249</v>
      </c>
      <c r="D35" s="35"/>
      <c r="E35" s="7" t="s">
        <v>250</v>
      </c>
      <c r="F35" s="35"/>
      <c r="G35" s="18" t="s">
        <v>251</v>
      </c>
      <c r="H35" s="35"/>
      <c r="I35" s="8"/>
      <c r="J35" s="35"/>
      <c r="K35" s="10" t="s">
        <v>252</v>
      </c>
      <c r="L35" s="35"/>
      <c r="N35" s="35"/>
      <c r="P35" s="35"/>
      <c r="R35" s="35"/>
      <c r="T35" s="35"/>
      <c r="V35" s="35"/>
      <c r="X35" s="35"/>
      <c r="Z35" s="35"/>
      <c r="AB35" s="35"/>
    </row>
    <row r="36" spans="1:28" ht="158.4" x14ac:dyDescent="0.3">
      <c r="A36" s="10" t="s">
        <v>253</v>
      </c>
      <c r="B36" s="36"/>
      <c r="C36" s="33"/>
      <c r="D36" s="36"/>
      <c r="E36" s="8" t="s">
        <v>254</v>
      </c>
      <c r="F36" s="36"/>
      <c r="G36" s="33" t="s">
        <v>255</v>
      </c>
      <c r="H36" s="36"/>
      <c r="I36" s="12"/>
      <c r="J36" s="36"/>
      <c r="K36" s="17"/>
      <c r="L36" s="36"/>
      <c r="N36" s="36"/>
      <c r="P36" s="36"/>
      <c r="R36" s="36"/>
      <c r="T36" s="36"/>
      <c r="V36" s="36"/>
      <c r="X36" s="36"/>
      <c r="Z36" s="36"/>
      <c r="AB36" s="36"/>
    </row>
    <row r="37" spans="1:28" x14ac:dyDescent="0.3">
      <c r="A37" s="9" t="s">
        <v>256</v>
      </c>
      <c r="B37" s="32"/>
      <c r="C37" s="7" t="s">
        <v>10</v>
      </c>
      <c r="D37" s="32"/>
      <c r="E37" s="7" t="s">
        <v>100</v>
      </c>
      <c r="F37" s="32"/>
      <c r="G37" s="7" t="s">
        <v>4</v>
      </c>
      <c r="H37" s="32"/>
      <c r="I37" s="13"/>
      <c r="J37" s="32"/>
      <c r="K37" s="17"/>
      <c r="L37" s="32"/>
      <c r="N37" s="32"/>
      <c r="P37" s="32"/>
      <c r="R37" s="32"/>
      <c r="T37" s="32"/>
      <c r="V37" s="32"/>
      <c r="X37" s="32"/>
      <c r="Z37" s="32"/>
      <c r="AB37" s="32"/>
    </row>
    <row r="38" spans="1:28" ht="230.4" x14ac:dyDescent="0.3">
      <c r="A38" s="10" t="s">
        <v>257</v>
      </c>
      <c r="B38" s="33"/>
      <c r="C38" s="8" t="s">
        <v>258</v>
      </c>
      <c r="D38" s="33"/>
      <c r="E38" s="8" t="s">
        <v>259</v>
      </c>
      <c r="F38" s="33"/>
      <c r="G38" s="8" t="s">
        <v>260</v>
      </c>
      <c r="H38" s="33"/>
      <c r="I38" s="12"/>
      <c r="J38" s="33"/>
      <c r="K38" s="17"/>
      <c r="L38" s="33"/>
      <c r="N38" s="33"/>
      <c r="P38" s="33"/>
      <c r="R38" s="33"/>
      <c r="T38" s="33"/>
      <c r="V38" s="33"/>
      <c r="X38" s="33"/>
      <c r="Z38" s="33"/>
      <c r="AB38" s="33"/>
    </row>
    <row r="39" spans="1:28" x14ac:dyDescent="0.3">
      <c r="A39" s="9" t="s">
        <v>261</v>
      </c>
      <c r="B39" s="37"/>
      <c r="C39" s="7" t="s">
        <v>2</v>
      </c>
      <c r="D39" s="37"/>
      <c r="E39" s="9" t="s">
        <v>26</v>
      </c>
      <c r="F39" s="37"/>
      <c r="G39" s="7" t="s">
        <v>262</v>
      </c>
      <c r="H39" s="37"/>
      <c r="I39" s="13"/>
      <c r="J39" s="37"/>
      <c r="K39" s="17"/>
      <c r="L39" s="37"/>
      <c r="N39" s="37"/>
      <c r="P39" s="37"/>
      <c r="R39" s="37"/>
      <c r="T39" s="37"/>
      <c r="V39" s="37"/>
      <c r="X39" s="37"/>
      <c r="Z39" s="37"/>
      <c r="AB39" s="37"/>
    </row>
    <row r="40" spans="1:28" ht="409.6" x14ac:dyDescent="0.3">
      <c r="A40" s="10" t="s">
        <v>263</v>
      </c>
      <c r="B40" s="35"/>
      <c r="C40" s="8" t="s">
        <v>516</v>
      </c>
      <c r="D40" s="35"/>
      <c r="E40" s="10" t="s">
        <v>264</v>
      </c>
      <c r="F40" s="35"/>
      <c r="G40" s="8" t="s">
        <v>265</v>
      </c>
      <c r="H40" s="35"/>
      <c r="I40" s="12"/>
      <c r="J40" s="35"/>
      <c r="K40" s="17"/>
      <c r="L40" s="35"/>
      <c r="N40" s="35"/>
      <c r="P40" s="35"/>
      <c r="R40" s="35"/>
      <c r="T40" s="35"/>
      <c r="V40" s="35"/>
      <c r="X40" s="35"/>
      <c r="Z40" s="35"/>
      <c r="AB40" s="35"/>
    </row>
    <row r="41" spans="1:28" x14ac:dyDescent="0.3">
      <c r="A41" s="9" t="s">
        <v>266</v>
      </c>
      <c r="B41" s="37"/>
      <c r="C41" s="18" t="s">
        <v>4</v>
      </c>
      <c r="D41" s="37"/>
      <c r="E41" s="47" t="s">
        <v>267</v>
      </c>
      <c r="F41" s="37"/>
      <c r="G41" s="7" t="s">
        <v>268</v>
      </c>
      <c r="H41" s="37"/>
      <c r="I41" s="13"/>
      <c r="J41" s="37"/>
      <c r="K41" s="17"/>
      <c r="L41" s="37"/>
      <c r="N41" s="37"/>
      <c r="P41" s="37"/>
      <c r="R41" s="37"/>
      <c r="T41" s="37"/>
      <c r="V41" s="37"/>
      <c r="X41" s="37"/>
      <c r="Z41" s="37"/>
      <c r="AB41" s="37"/>
    </row>
    <row r="42" spans="1:28" ht="158.4" x14ac:dyDescent="0.3">
      <c r="A42" s="10" t="s">
        <v>269</v>
      </c>
      <c r="B42" s="35"/>
      <c r="C42" s="7" t="s">
        <v>4</v>
      </c>
      <c r="D42" s="35"/>
      <c r="E42" s="46" t="s">
        <v>270</v>
      </c>
      <c r="F42" s="35"/>
      <c r="G42" s="8" t="s">
        <v>271</v>
      </c>
      <c r="H42" s="35"/>
      <c r="I42" s="12"/>
      <c r="J42" s="35"/>
      <c r="K42" s="17"/>
      <c r="L42" s="35"/>
      <c r="N42" s="35"/>
      <c r="P42" s="35"/>
      <c r="R42" s="35"/>
      <c r="T42" s="35"/>
      <c r="V42" s="35"/>
      <c r="X42" s="35"/>
      <c r="Z42" s="35"/>
      <c r="AB42" s="35"/>
    </row>
    <row r="43" spans="1:28" ht="302.39999999999998" x14ac:dyDescent="0.3">
      <c r="A43" s="60" t="s">
        <v>521</v>
      </c>
      <c r="B43" s="32"/>
      <c r="C43" s="8" t="s">
        <v>514</v>
      </c>
      <c r="D43" s="32"/>
      <c r="E43" s="18" t="s">
        <v>272</v>
      </c>
      <c r="F43" s="32"/>
      <c r="G43" s="38" t="s">
        <v>200</v>
      </c>
      <c r="H43" s="32"/>
      <c r="I43" s="13"/>
      <c r="J43" s="32"/>
      <c r="K43" s="17"/>
      <c r="L43" s="32"/>
      <c r="N43" s="32"/>
      <c r="P43" s="32"/>
      <c r="R43" s="32"/>
      <c r="T43" s="32"/>
      <c r="V43" s="32"/>
      <c r="X43" s="32"/>
      <c r="Z43" s="32"/>
      <c r="AB43" s="32"/>
    </row>
    <row r="44" spans="1:28" ht="28.8" x14ac:dyDescent="0.3">
      <c r="A44" s="32" t="s">
        <v>545</v>
      </c>
      <c r="B44" s="33"/>
      <c r="C44" s="7" t="s">
        <v>273</v>
      </c>
      <c r="D44" s="33"/>
      <c r="E44" s="33" t="s">
        <v>274</v>
      </c>
      <c r="F44" s="33"/>
      <c r="G44" s="9"/>
      <c r="H44" s="33"/>
      <c r="I44" s="12"/>
      <c r="J44" s="33"/>
      <c r="K44" s="17"/>
      <c r="L44" s="33"/>
      <c r="N44" s="33"/>
      <c r="P44" s="33"/>
      <c r="R44" s="33"/>
      <c r="T44" s="33"/>
      <c r="V44" s="33"/>
      <c r="X44" s="33"/>
      <c r="Z44" s="33"/>
      <c r="AB44" s="33"/>
    </row>
    <row r="45" spans="1:28" ht="158.4" x14ac:dyDescent="0.3">
      <c r="A45" s="33" t="s">
        <v>275</v>
      </c>
      <c r="B45" s="37"/>
      <c r="C45" s="8" t="s">
        <v>276</v>
      </c>
      <c r="D45" s="37"/>
      <c r="E45" s="7" t="s">
        <v>24</v>
      </c>
      <c r="F45" s="37"/>
      <c r="G45" s="8"/>
      <c r="H45" s="37"/>
      <c r="I45" s="13"/>
      <c r="J45" s="37"/>
      <c r="K45" s="17"/>
      <c r="L45" s="37"/>
      <c r="N45" s="37"/>
      <c r="P45" s="37"/>
      <c r="R45" s="37"/>
      <c r="T45" s="37"/>
      <c r="V45" s="37"/>
      <c r="X45" s="37"/>
      <c r="Z45" s="37"/>
      <c r="AB45" s="37"/>
    </row>
    <row r="46" spans="1:28" ht="115.2" x14ac:dyDescent="0.3">
      <c r="A46" s="9" t="s">
        <v>277</v>
      </c>
      <c r="B46" s="35"/>
      <c r="C46" s="38" t="s">
        <v>200</v>
      </c>
      <c r="D46" s="35"/>
      <c r="E46" s="8" t="s">
        <v>278</v>
      </c>
      <c r="F46" s="35"/>
      <c r="G46" s="9"/>
      <c r="H46" s="35"/>
      <c r="I46" s="12"/>
      <c r="J46" s="35"/>
      <c r="K46" s="17"/>
      <c r="L46" s="35"/>
      <c r="N46" s="35"/>
      <c r="P46" s="35"/>
      <c r="R46" s="35"/>
      <c r="T46" s="35"/>
      <c r="V46" s="35"/>
      <c r="X46" s="35"/>
      <c r="Z46" s="35"/>
      <c r="AB46" s="35"/>
    </row>
    <row r="47" spans="1:28" ht="158.4" x14ac:dyDescent="0.3">
      <c r="A47" s="10" t="s">
        <v>279</v>
      </c>
      <c r="B47" s="37"/>
      <c r="C47" s="10"/>
      <c r="D47" s="37"/>
      <c r="E47" s="7" t="s">
        <v>4</v>
      </c>
      <c r="F47" s="37"/>
      <c r="G47" s="8"/>
      <c r="H47" s="37"/>
      <c r="I47" s="13"/>
      <c r="J47" s="37"/>
      <c r="K47" s="17"/>
      <c r="L47" s="37"/>
      <c r="N47" s="37"/>
      <c r="P47" s="37"/>
      <c r="R47" s="37"/>
      <c r="T47" s="37"/>
      <c r="V47" s="37"/>
      <c r="X47" s="37"/>
      <c r="Z47" s="37"/>
      <c r="AB47" s="37"/>
    </row>
    <row r="48" spans="1:28" ht="100.8" x14ac:dyDescent="0.3">
      <c r="A48" s="9" t="s">
        <v>280</v>
      </c>
      <c r="B48" s="35"/>
      <c r="C48" s="10"/>
      <c r="D48" s="35"/>
      <c r="E48" s="8" t="s">
        <v>281</v>
      </c>
      <c r="F48" s="35"/>
      <c r="G48" s="10"/>
      <c r="H48" s="35"/>
      <c r="I48" s="12"/>
      <c r="J48" s="35"/>
      <c r="K48" s="17"/>
      <c r="L48" s="35"/>
      <c r="N48" s="35"/>
      <c r="P48" s="35"/>
      <c r="R48" s="35"/>
      <c r="T48" s="35"/>
      <c r="V48" s="35"/>
      <c r="X48" s="35"/>
      <c r="Z48" s="35"/>
      <c r="AB48" s="35"/>
    </row>
    <row r="49" spans="1:28" ht="144" x14ac:dyDescent="0.3">
      <c r="A49" s="10" t="s">
        <v>282</v>
      </c>
      <c r="B49" s="32"/>
      <c r="C49" s="10"/>
      <c r="D49" s="32"/>
      <c r="E49" s="7" t="s">
        <v>283</v>
      </c>
      <c r="F49" s="32"/>
      <c r="G49" s="10"/>
      <c r="H49" s="32"/>
      <c r="I49" s="13"/>
      <c r="J49" s="32"/>
      <c r="K49" s="17"/>
      <c r="L49" s="32"/>
      <c r="N49" s="32"/>
      <c r="P49" s="32"/>
      <c r="R49" s="32"/>
      <c r="T49" s="32"/>
      <c r="V49" s="32"/>
      <c r="X49" s="32"/>
      <c r="Z49" s="32"/>
      <c r="AB49" s="32"/>
    </row>
    <row r="50" spans="1:28" ht="115.2" x14ac:dyDescent="0.3">
      <c r="A50" s="18" t="s">
        <v>546</v>
      </c>
      <c r="B50" s="33"/>
      <c r="C50" s="10"/>
      <c r="D50" s="33"/>
      <c r="E50" s="8" t="s">
        <v>284</v>
      </c>
      <c r="F50" s="33"/>
      <c r="G50" s="10"/>
      <c r="H50" s="33"/>
      <c r="I50" s="12"/>
      <c r="J50" s="33"/>
      <c r="K50" s="17"/>
      <c r="L50" s="33"/>
      <c r="N50" s="33"/>
      <c r="P50" s="33"/>
      <c r="R50" s="33"/>
      <c r="T50" s="33"/>
      <c r="V50" s="33"/>
      <c r="X50" s="33"/>
      <c r="Z50" s="33"/>
      <c r="AB50" s="33"/>
    </row>
    <row r="51" spans="1:28" ht="43.2" x14ac:dyDescent="0.3">
      <c r="A51" s="33" t="s">
        <v>548</v>
      </c>
      <c r="B51" s="37"/>
      <c r="C51" s="10"/>
      <c r="D51" s="37"/>
      <c r="E51" s="47" t="s">
        <v>9</v>
      </c>
      <c r="F51" s="37"/>
      <c r="G51" s="10"/>
      <c r="H51" s="37"/>
      <c r="I51" s="13"/>
      <c r="J51" s="37"/>
      <c r="K51" s="17"/>
      <c r="L51" s="37"/>
      <c r="N51" s="37"/>
      <c r="P51" s="37"/>
      <c r="R51" s="37"/>
      <c r="T51" s="37"/>
      <c r="V51" s="37"/>
      <c r="X51" s="37"/>
      <c r="Z51" s="37"/>
      <c r="AB51" s="37"/>
    </row>
    <row r="52" spans="1:28" ht="43.2" x14ac:dyDescent="0.3">
      <c r="A52" s="9" t="s">
        <v>285</v>
      </c>
      <c r="B52" s="35"/>
      <c r="C52" s="10"/>
      <c r="D52" s="35"/>
      <c r="E52" s="46" t="s">
        <v>286</v>
      </c>
      <c r="F52" s="35"/>
      <c r="G52" s="10"/>
      <c r="H52" s="35"/>
      <c r="I52" s="12"/>
      <c r="J52" s="35"/>
      <c r="K52" s="17"/>
      <c r="L52" s="35"/>
      <c r="N52" s="35"/>
      <c r="P52" s="35"/>
      <c r="R52" s="35"/>
      <c r="T52" s="35"/>
      <c r="V52" s="35"/>
      <c r="X52" s="35"/>
      <c r="Z52" s="35"/>
      <c r="AB52" s="35"/>
    </row>
    <row r="53" spans="1:28" ht="158.4" x14ac:dyDescent="0.3">
      <c r="A53" s="10" t="s">
        <v>287</v>
      </c>
      <c r="B53" s="37"/>
      <c r="C53" s="10"/>
      <c r="D53" s="37"/>
      <c r="E53" s="47" t="s">
        <v>288</v>
      </c>
      <c r="F53" s="37"/>
      <c r="G53" s="10"/>
      <c r="H53" s="37"/>
      <c r="I53" s="13"/>
      <c r="J53" s="37"/>
      <c r="K53" s="17"/>
      <c r="L53" s="37"/>
      <c r="N53" s="37"/>
      <c r="P53" s="37"/>
      <c r="R53" s="37"/>
      <c r="T53" s="37"/>
      <c r="V53" s="37"/>
      <c r="X53" s="37"/>
      <c r="Z53" s="37"/>
      <c r="AB53" s="37"/>
    </row>
    <row r="54" spans="1:28" ht="115.2" x14ac:dyDescent="0.3">
      <c r="A54" s="9" t="s">
        <v>289</v>
      </c>
      <c r="B54" s="35"/>
      <c r="C54" s="10"/>
      <c r="D54" s="35"/>
      <c r="E54" s="46" t="s">
        <v>290</v>
      </c>
      <c r="F54" s="35"/>
      <c r="G54" s="10"/>
      <c r="H54" s="35"/>
      <c r="I54" s="9"/>
      <c r="J54" s="35"/>
      <c r="K54" s="17"/>
      <c r="L54" s="35"/>
      <c r="N54" s="35"/>
      <c r="P54" s="35"/>
      <c r="R54" s="35"/>
      <c r="T54" s="35"/>
      <c r="V54" s="35"/>
      <c r="X54" s="35"/>
      <c r="Z54" s="35"/>
      <c r="AB54" s="35"/>
    </row>
    <row r="55" spans="1:28" ht="158.4" x14ac:dyDescent="0.3">
      <c r="A55" s="10" t="s">
        <v>291</v>
      </c>
      <c r="B55" s="32"/>
      <c r="C55" s="10"/>
      <c r="D55" s="32"/>
      <c r="E55" s="47" t="s">
        <v>292</v>
      </c>
      <c r="F55" s="32"/>
      <c r="G55" s="10"/>
      <c r="H55" s="32"/>
      <c r="I55" s="8"/>
      <c r="J55" s="32"/>
      <c r="K55" s="17"/>
      <c r="L55" s="32"/>
      <c r="N55" s="32"/>
      <c r="P55" s="32"/>
      <c r="R55" s="32"/>
      <c r="T55" s="32"/>
      <c r="V55" s="32"/>
      <c r="X55" s="32"/>
      <c r="Z55" s="32"/>
      <c r="AB55" s="32"/>
    </row>
    <row r="56" spans="1:28" ht="129.6" x14ac:dyDescent="0.3">
      <c r="A56" s="18" t="s">
        <v>547</v>
      </c>
      <c r="B56" s="33"/>
      <c r="C56" s="10"/>
      <c r="D56" s="33"/>
      <c r="E56" s="46" t="s">
        <v>293</v>
      </c>
      <c r="F56" s="33"/>
      <c r="G56" s="10"/>
      <c r="H56" s="33"/>
      <c r="I56" s="12"/>
      <c r="J56" s="33"/>
      <c r="K56" s="17"/>
      <c r="L56" s="33"/>
      <c r="N56" s="33"/>
      <c r="P56" s="33"/>
      <c r="R56" s="33"/>
      <c r="T56" s="33"/>
      <c r="V56" s="33"/>
      <c r="X56" s="33"/>
      <c r="Z56" s="33"/>
      <c r="AB56" s="33"/>
    </row>
    <row r="57" spans="1:28" ht="28.8" x14ac:dyDescent="0.3">
      <c r="A57" s="33" t="s">
        <v>294</v>
      </c>
      <c r="B57" s="37"/>
      <c r="C57" s="10"/>
      <c r="D57" s="37"/>
      <c r="E57" s="38" t="s">
        <v>200</v>
      </c>
      <c r="F57" s="37"/>
      <c r="G57" s="10"/>
      <c r="H57" s="37"/>
      <c r="I57" s="13"/>
      <c r="J57" s="37"/>
      <c r="K57" s="17"/>
      <c r="L57" s="37"/>
      <c r="N57" s="37"/>
      <c r="P57" s="37"/>
      <c r="R57" s="37"/>
      <c r="T57" s="37"/>
      <c r="V57" s="37"/>
      <c r="X57" s="37"/>
      <c r="Z57" s="37"/>
      <c r="AB57" s="37"/>
    </row>
    <row r="58" spans="1:28" x14ac:dyDescent="0.3">
      <c r="A58" s="9" t="s">
        <v>295</v>
      </c>
      <c r="B58" s="35"/>
      <c r="C58" s="10"/>
      <c r="D58" s="35"/>
      <c r="E58" s="10"/>
      <c r="F58" s="35"/>
      <c r="G58" s="10"/>
      <c r="H58" s="35"/>
      <c r="I58" s="9"/>
      <c r="J58" s="35"/>
      <c r="K58" s="17"/>
      <c r="L58" s="35"/>
      <c r="N58" s="35"/>
      <c r="P58" s="35"/>
      <c r="R58" s="35"/>
      <c r="T58" s="35"/>
      <c r="V58" s="35"/>
      <c r="X58" s="35"/>
      <c r="Z58" s="35"/>
      <c r="AB58" s="35"/>
    </row>
    <row r="59" spans="1:28" ht="172.8" x14ac:dyDescent="0.3">
      <c r="A59" s="10" t="s">
        <v>296</v>
      </c>
      <c r="B59" s="37"/>
      <c r="C59" s="10"/>
      <c r="D59" s="37"/>
      <c r="E59" s="10"/>
      <c r="F59" s="37"/>
      <c r="G59" s="10"/>
      <c r="H59" s="37"/>
      <c r="I59" s="8"/>
      <c r="J59" s="37"/>
      <c r="K59" s="17"/>
      <c r="L59" s="37"/>
      <c r="N59" s="37"/>
      <c r="P59" s="37"/>
      <c r="R59" s="37"/>
      <c r="T59" s="37"/>
      <c r="V59" s="37"/>
      <c r="X59" s="37"/>
      <c r="Z59" s="37"/>
      <c r="AB59" s="37"/>
    </row>
    <row r="60" spans="1:28" x14ac:dyDescent="0.3">
      <c r="A60" s="9" t="s">
        <v>297</v>
      </c>
      <c r="B60" s="35"/>
      <c r="C60" s="10"/>
      <c r="D60" s="35"/>
      <c r="E60" s="10"/>
      <c r="F60" s="35"/>
      <c r="G60" s="10"/>
      <c r="H60" s="35"/>
      <c r="I60" s="12"/>
      <c r="J60" s="35"/>
      <c r="K60" s="17"/>
      <c r="L60" s="35"/>
      <c r="N60" s="35"/>
      <c r="P60" s="35"/>
      <c r="R60" s="35"/>
      <c r="T60" s="35"/>
      <c r="V60" s="35"/>
      <c r="X60" s="35"/>
      <c r="Z60" s="35"/>
      <c r="AB60" s="35"/>
    </row>
    <row r="61" spans="1:28" ht="144" x14ac:dyDescent="0.3">
      <c r="A61" s="10" t="s">
        <v>298</v>
      </c>
      <c r="B61" s="37"/>
      <c r="C61" s="10"/>
      <c r="D61" s="37"/>
      <c r="E61" s="10"/>
      <c r="F61" s="37"/>
      <c r="G61" s="10"/>
      <c r="H61" s="37"/>
      <c r="I61" s="13"/>
      <c r="J61" s="37"/>
      <c r="K61" s="17"/>
      <c r="L61" s="37"/>
      <c r="N61" s="37"/>
      <c r="P61" s="37"/>
      <c r="R61" s="37"/>
      <c r="T61" s="37"/>
      <c r="V61" s="37"/>
      <c r="X61" s="37"/>
      <c r="Z61" s="37"/>
      <c r="AB61" s="37"/>
    </row>
    <row r="62" spans="1:28" x14ac:dyDescent="0.3">
      <c r="A62" s="9" t="s">
        <v>299</v>
      </c>
      <c r="B62" s="35"/>
      <c r="C62" s="10"/>
      <c r="D62" s="35"/>
      <c r="E62" s="10"/>
      <c r="F62" s="35"/>
      <c r="G62" s="10"/>
      <c r="H62" s="35"/>
      <c r="I62" s="12"/>
      <c r="J62" s="35"/>
      <c r="K62" s="17"/>
      <c r="L62" s="35"/>
      <c r="N62" s="35"/>
      <c r="P62" s="35"/>
      <c r="R62" s="35"/>
      <c r="T62" s="35"/>
      <c r="V62" s="35"/>
      <c r="X62" s="35"/>
      <c r="Z62" s="35"/>
      <c r="AB62" s="35"/>
    </row>
    <row r="63" spans="1:28" ht="158.4" x14ac:dyDescent="0.3">
      <c r="A63" s="10" t="s">
        <v>300</v>
      </c>
      <c r="B63" s="37"/>
      <c r="C63" s="10"/>
      <c r="D63" s="37"/>
      <c r="E63" s="10"/>
      <c r="F63" s="9"/>
      <c r="G63" s="10"/>
      <c r="H63" s="37"/>
      <c r="I63" s="13"/>
      <c r="J63" s="37"/>
      <c r="K63" s="17"/>
      <c r="L63" s="37"/>
      <c r="N63" s="37"/>
      <c r="P63" s="37"/>
      <c r="R63" s="37"/>
      <c r="T63" s="37"/>
      <c r="V63" s="37"/>
      <c r="X63" s="37"/>
      <c r="Z63" s="37"/>
      <c r="AB63" s="37"/>
    </row>
    <row r="64" spans="1:28" x14ac:dyDescent="0.3">
      <c r="A64" s="9" t="s">
        <v>301</v>
      </c>
      <c r="B64" s="35"/>
      <c r="C64" s="10"/>
      <c r="D64" s="35"/>
      <c r="E64" s="10"/>
      <c r="F64" s="10"/>
      <c r="G64" s="10"/>
      <c r="H64" s="35"/>
      <c r="I64" s="10"/>
      <c r="J64" s="35"/>
      <c r="K64" s="17"/>
      <c r="L64" s="35"/>
      <c r="N64" s="35"/>
      <c r="P64" s="35"/>
      <c r="R64" s="35"/>
      <c r="T64" s="35"/>
      <c r="V64" s="35"/>
      <c r="X64" s="35"/>
      <c r="Z64" s="35"/>
      <c r="AB64" s="35"/>
    </row>
    <row r="65" spans="1:28" ht="144" x14ac:dyDescent="0.3">
      <c r="A65" s="10" t="s">
        <v>302</v>
      </c>
      <c r="B65" s="35"/>
      <c r="C65" s="10"/>
      <c r="D65" s="10"/>
      <c r="E65" s="10"/>
      <c r="F65" s="10"/>
      <c r="G65" s="10"/>
      <c r="H65" s="35"/>
      <c r="I65" s="10"/>
      <c r="J65" s="35"/>
      <c r="K65" s="17"/>
      <c r="L65" s="35"/>
      <c r="N65" s="35"/>
      <c r="P65" s="35"/>
      <c r="R65" s="35"/>
      <c r="T65" s="35"/>
      <c r="V65" s="35"/>
      <c r="X65" s="35"/>
      <c r="Z65" s="35"/>
      <c r="AB65" s="35"/>
    </row>
    <row r="66" spans="1:28" x14ac:dyDescent="0.3">
      <c r="A66" s="9" t="s">
        <v>303</v>
      </c>
      <c r="B66" s="10"/>
      <c r="C66" s="10"/>
      <c r="D66" s="10"/>
      <c r="E66" s="10"/>
      <c r="F66" s="10"/>
      <c r="G66" s="10"/>
      <c r="H66" s="35"/>
      <c r="I66" s="10"/>
      <c r="J66" s="35"/>
      <c r="K66" s="17"/>
      <c r="L66" s="35"/>
      <c r="N66" s="35"/>
      <c r="P66" s="35"/>
      <c r="R66" s="35"/>
      <c r="T66" s="35"/>
      <c r="V66" s="35"/>
      <c r="X66" s="35"/>
      <c r="Z66" s="35"/>
      <c r="AB66" s="35"/>
    </row>
    <row r="67" spans="1:28" ht="158.4" x14ac:dyDescent="0.3">
      <c r="A67" s="10" t="s">
        <v>304</v>
      </c>
      <c r="B67" s="10"/>
      <c r="C67" s="10"/>
      <c r="D67" s="10"/>
      <c r="E67" s="10"/>
      <c r="F67" s="10"/>
      <c r="G67" s="10"/>
      <c r="H67" s="35"/>
      <c r="I67" s="10"/>
      <c r="J67" s="35"/>
      <c r="K67" s="17"/>
      <c r="L67" s="35"/>
      <c r="N67" s="35"/>
      <c r="P67" s="35"/>
      <c r="R67" s="35"/>
      <c r="T67" s="35"/>
      <c r="V67" s="35"/>
      <c r="X67" s="35"/>
      <c r="Z67" s="35"/>
      <c r="AB67" s="35"/>
    </row>
    <row r="68" spans="1:28" x14ac:dyDescent="0.3">
      <c r="A68" s="9" t="s">
        <v>305</v>
      </c>
      <c r="B68" s="10"/>
      <c r="C68" s="10"/>
      <c r="D68" s="10"/>
      <c r="E68" s="10"/>
      <c r="F68" s="10"/>
      <c r="G68" s="10"/>
      <c r="H68" s="35"/>
      <c r="I68" s="10"/>
      <c r="J68" s="35"/>
      <c r="K68" s="17"/>
      <c r="L68" s="35"/>
      <c r="N68" s="35"/>
      <c r="P68" s="35"/>
      <c r="R68" s="35"/>
      <c r="T68" s="35"/>
      <c r="V68" s="35"/>
      <c r="X68" s="35"/>
      <c r="Z68" s="35"/>
      <c r="AB68" s="35"/>
    </row>
    <row r="69" spans="1:28" ht="158.4" x14ac:dyDescent="0.3">
      <c r="A69" s="10" t="s">
        <v>306</v>
      </c>
      <c r="B69" s="10"/>
      <c r="C69" s="10"/>
      <c r="D69" s="10"/>
      <c r="E69" s="10"/>
      <c r="F69" s="10"/>
      <c r="G69" s="10"/>
      <c r="H69" s="35"/>
      <c r="I69" s="10"/>
      <c r="J69" s="35"/>
      <c r="K69" s="17"/>
      <c r="L69" s="35"/>
      <c r="N69" s="35"/>
      <c r="P69" s="35"/>
      <c r="R69" s="35"/>
      <c r="T69" s="35"/>
      <c r="V69" s="35"/>
      <c r="X69" s="35"/>
      <c r="Z69" s="35"/>
      <c r="AB69" s="35"/>
    </row>
    <row r="70" spans="1:28" x14ac:dyDescent="0.3">
      <c r="A70" s="38" t="s">
        <v>200</v>
      </c>
      <c r="B70" s="10"/>
      <c r="C70" s="10"/>
      <c r="D70" s="10"/>
      <c r="E70" s="10"/>
      <c r="F70" s="10"/>
      <c r="G70" s="10"/>
      <c r="H70" s="35"/>
      <c r="I70" s="10"/>
      <c r="J70" s="35"/>
      <c r="K70" s="17"/>
      <c r="L70" s="35"/>
      <c r="N70" s="35"/>
      <c r="P70" s="35"/>
      <c r="R70" s="35"/>
      <c r="T70" s="35"/>
      <c r="V70" s="35"/>
      <c r="X70" s="35"/>
      <c r="Z70" s="35"/>
      <c r="AB70" s="35"/>
    </row>
    <row r="71" spans="1:28" x14ac:dyDescent="0.3">
      <c r="A71" s="10"/>
      <c r="B71" s="10"/>
      <c r="C71" s="10"/>
      <c r="D71" s="10"/>
      <c r="E71" s="10"/>
      <c r="F71" s="10"/>
      <c r="G71" s="10"/>
      <c r="H71" s="35"/>
      <c r="I71" s="10"/>
      <c r="J71" s="35"/>
      <c r="K71" s="17"/>
      <c r="L71" s="35"/>
      <c r="N71" s="35"/>
      <c r="P71" s="35"/>
      <c r="R71" s="35"/>
      <c r="T71" s="35"/>
      <c r="V71" s="35"/>
      <c r="X71" s="35"/>
      <c r="Z71" s="35"/>
      <c r="AB71" s="35"/>
    </row>
    <row r="72" spans="1:28" x14ac:dyDescent="0.3">
      <c r="A72" s="10"/>
      <c r="B72" s="10"/>
      <c r="C72" s="10"/>
      <c r="D72" s="10"/>
      <c r="E72" s="10"/>
      <c r="F72" s="10"/>
      <c r="G72" s="10"/>
      <c r="H72" s="35"/>
      <c r="I72" s="10"/>
      <c r="J72" s="35"/>
      <c r="K72" s="17"/>
      <c r="L72" s="35"/>
      <c r="N72" s="35"/>
      <c r="P72" s="35"/>
      <c r="R72" s="35"/>
      <c r="T72" s="35"/>
      <c r="V72" s="35"/>
      <c r="X72" s="35"/>
      <c r="Z72" s="35"/>
      <c r="AB72" s="35"/>
    </row>
    <row r="73" spans="1:28" x14ac:dyDescent="0.3">
      <c r="A73" s="10"/>
      <c r="B73" s="10"/>
      <c r="C73" s="10"/>
      <c r="D73" s="10"/>
      <c r="E73" s="10"/>
      <c r="F73" s="10"/>
      <c r="G73" s="10"/>
      <c r="H73" s="35"/>
      <c r="I73" s="10"/>
      <c r="J73" s="35"/>
      <c r="K73" s="17"/>
      <c r="L73" s="35"/>
      <c r="N73" s="35"/>
      <c r="P73" s="35"/>
      <c r="R73" s="35"/>
      <c r="T73" s="35"/>
      <c r="V73" s="35"/>
      <c r="X73" s="35"/>
      <c r="Z73" s="35"/>
      <c r="AB73" s="35"/>
    </row>
    <row r="74" spans="1:28" x14ac:dyDescent="0.3">
      <c r="A74" s="10"/>
      <c r="B74" s="10"/>
      <c r="C74" s="10"/>
      <c r="D74" s="10"/>
      <c r="E74" s="10"/>
      <c r="F74" s="10"/>
      <c r="G74" s="10"/>
      <c r="H74" s="35"/>
      <c r="I74" s="10"/>
      <c r="J74" s="35"/>
      <c r="K74" s="17"/>
      <c r="L74" s="35"/>
      <c r="N74" s="35"/>
      <c r="P74" s="35"/>
      <c r="R74" s="35"/>
      <c r="T74" s="35"/>
      <c r="V74" s="35"/>
      <c r="X74" s="35"/>
      <c r="Z74" s="35"/>
      <c r="AB74" s="35"/>
    </row>
    <row r="75" spans="1:28" x14ac:dyDescent="0.3">
      <c r="A75" s="10"/>
      <c r="B75" s="10"/>
      <c r="C75" s="10"/>
      <c r="D75" s="10"/>
      <c r="E75" s="10"/>
      <c r="F75" s="10"/>
      <c r="G75" s="10"/>
      <c r="H75" s="35"/>
      <c r="I75" s="10"/>
      <c r="J75" s="35"/>
      <c r="K75" s="17"/>
      <c r="L75" s="35"/>
      <c r="N75" s="35"/>
      <c r="P75" s="35"/>
      <c r="R75" s="35"/>
      <c r="T75" s="35"/>
      <c r="V75" s="35"/>
      <c r="X75" s="35"/>
      <c r="Z75" s="35"/>
      <c r="AB75" s="35"/>
    </row>
    <row r="76" spans="1:28" x14ac:dyDescent="0.3">
      <c r="A76" s="10"/>
      <c r="B76" s="10"/>
      <c r="C76" s="10"/>
      <c r="D76" s="10"/>
      <c r="E76" s="10"/>
      <c r="F76" s="10"/>
      <c r="G76" s="10"/>
      <c r="H76" s="35"/>
      <c r="I76" s="10"/>
      <c r="J76" s="35"/>
      <c r="K76" s="17"/>
      <c r="L76" s="35"/>
      <c r="N76" s="35"/>
      <c r="P76" s="35"/>
      <c r="R76" s="35"/>
      <c r="T76" s="35"/>
      <c r="V76" s="35"/>
      <c r="X76" s="35"/>
      <c r="Z76" s="35"/>
      <c r="AB76" s="35"/>
    </row>
    <row r="77" spans="1:28" x14ac:dyDescent="0.3">
      <c r="A77" s="10"/>
      <c r="B77" s="10"/>
      <c r="C77" s="10"/>
      <c r="D77" s="10"/>
      <c r="E77" s="10"/>
      <c r="F77" s="10"/>
      <c r="G77" s="10"/>
      <c r="H77" s="35"/>
      <c r="I77" s="10"/>
      <c r="J77" s="35"/>
      <c r="K77" s="17"/>
      <c r="L77" s="35"/>
      <c r="N77" s="35"/>
      <c r="P77" s="35"/>
      <c r="R77" s="35"/>
      <c r="T77" s="35"/>
      <c r="V77" s="35"/>
      <c r="X77" s="35"/>
      <c r="Z77" s="35"/>
      <c r="AB77" s="35"/>
    </row>
    <row r="78" spans="1:28" x14ac:dyDescent="0.3">
      <c r="A78" s="10"/>
      <c r="B78" s="10"/>
      <c r="C78" s="10"/>
      <c r="D78" s="10"/>
      <c r="E78" s="10"/>
      <c r="F78" s="10"/>
      <c r="G78" s="10"/>
      <c r="H78" s="35"/>
      <c r="I78" s="10"/>
      <c r="J78" s="35"/>
      <c r="K78" s="17"/>
      <c r="L78" s="35"/>
      <c r="N78" s="35"/>
      <c r="P78" s="35"/>
      <c r="R78" s="35"/>
      <c r="T78" s="35"/>
      <c r="V78" s="35"/>
      <c r="X78" s="35"/>
      <c r="Z78" s="35"/>
      <c r="AB78" s="35"/>
    </row>
    <row r="79" spans="1:28" x14ac:dyDescent="0.3">
      <c r="A79" s="10"/>
      <c r="B79" s="10"/>
      <c r="C79" s="10"/>
      <c r="D79" s="10"/>
      <c r="E79" s="10"/>
      <c r="F79" s="10"/>
      <c r="G79" s="10"/>
      <c r="H79" s="35"/>
      <c r="I79" s="10"/>
      <c r="J79" s="35"/>
      <c r="K79" s="17"/>
      <c r="L79" s="35"/>
      <c r="N79" s="35"/>
      <c r="P79" s="35"/>
      <c r="R79" s="35"/>
      <c r="T79" s="35"/>
      <c r="V79" s="35"/>
      <c r="X79" s="35"/>
      <c r="Z79" s="35"/>
      <c r="AB79" s="35"/>
    </row>
    <row r="80" spans="1:28" x14ac:dyDescent="0.3">
      <c r="A80" s="10"/>
      <c r="B80" s="10"/>
      <c r="C80" s="10"/>
      <c r="D80" s="10"/>
      <c r="E80" s="10"/>
      <c r="F80" s="10"/>
      <c r="G80" s="10"/>
      <c r="H80" s="35"/>
      <c r="I80" s="10"/>
      <c r="J80" s="35"/>
      <c r="K80" s="17"/>
      <c r="L80" s="35"/>
      <c r="N80" s="35"/>
      <c r="P80" s="35"/>
      <c r="R80" s="35"/>
      <c r="T80" s="35"/>
      <c r="V80" s="35"/>
      <c r="X80" s="35"/>
      <c r="Z80" s="35"/>
      <c r="AB80" s="35"/>
    </row>
    <row r="81" spans="1:29" x14ac:dyDescent="0.3">
      <c r="A81" s="10"/>
      <c r="B81" s="10"/>
      <c r="C81" s="10"/>
      <c r="D81" s="10"/>
      <c r="E81" s="10"/>
      <c r="F81" s="10"/>
      <c r="G81" s="10"/>
      <c r="H81" s="35"/>
      <c r="I81" s="10"/>
      <c r="J81" s="35"/>
      <c r="K81" s="17"/>
      <c r="L81" s="35"/>
      <c r="N81" s="35"/>
      <c r="P81" s="35"/>
      <c r="R81" s="35"/>
      <c r="T81" s="35"/>
      <c r="V81" s="35"/>
      <c r="X81" s="35"/>
      <c r="Z81" s="35"/>
      <c r="AB81" s="35"/>
    </row>
    <row r="82" spans="1:29" x14ac:dyDescent="0.3">
      <c r="A82" s="10"/>
      <c r="B82" s="10"/>
      <c r="C82" s="10"/>
      <c r="D82" s="10"/>
      <c r="E82" s="10"/>
      <c r="F82" s="10"/>
      <c r="G82" s="10"/>
      <c r="H82" s="35"/>
      <c r="I82" s="10"/>
      <c r="J82" s="35"/>
      <c r="K82" s="17"/>
      <c r="L82" s="35"/>
      <c r="N82" s="35"/>
      <c r="P82" s="35"/>
      <c r="R82" s="35"/>
      <c r="T82" s="35"/>
      <c r="V82" s="35"/>
      <c r="X82" s="35"/>
      <c r="Z82" s="35"/>
      <c r="AB82" s="35"/>
    </row>
    <row r="83" spans="1:29" x14ac:dyDescent="0.3">
      <c r="A83" s="10"/>
      <c r="B83" s="10"/>
      <c r="C83" s="10"/>
      <c r="D83" s="10"/>
      <c r="E83" s="10"/>
      <c r="F83" s="10"/>
      <c r="G83" s="10"/>
      <c r="H83" s="35"/>
      <c r="I83" s="10"/>
      <c r="J83" s="35"/>
      <c r="K83" s="17"/>
      <c r="L83" s="35"/>
      <c r="N83" s="35"/>
      <c r="P83" s="35"/>
      <c r="R83" s="35"/>
      <c r="T83" s="35"/>
      <c r="V83" s="35"/>
      <c r="X83" s="35"/>
      <c r="Z83" s="35"/>
      <c r="AB83" s="35"/>
    </row>
    <row r="84" spans="1:29" x14ac:dyDescent="0.3">
      <c r="A84" s="10"/>
      <c r="B84" s="10"/>
      <c r="C84" s="10"/>
      <c r="D84" s="10"/>
      <c r="E84" s="10"/>
      <c r="F84" s="10"/>
      <c r="G84" s="10"/>
      <c r="H84" s="35"/>
      <c r="I84" s="10"/>
      <c r="J84" s="35"/>
      <c r="K84" s="17"/>
      <c r="L84" s="35"/>
      <c r="N84" s="35"/>
      <c r="P84" s="35"/>
      <c r="R84" s="35"/>
      <c r="T84" s="35"/>
      <c r="V84" s="35"/>
      <c r="X84" s="35"/>
      <c r="Z84" s="35"/>
      <c r="AB84" s="35"/>
    </row>
    <row r="85" spans="1:29" x14ac:dyDescent="0.3">
      <c r="A85" s="10"/>
      <c r="B85" s="10"/>
      <c r="C85" s="10"/>
      <c r="D85" s="10"/>
      <c r="E85" s="10"/>
      <c r="F85" s="10"/>
      <c r="G85" s="10"/>
      <c r="H85" s="35"/>
      <c r="I85" s="10"/>
      <c r="J85" s="35"/>
      <c r="K85" s="17"/>
      <c r="L85" s="35"/>
      <c r="N85" s="35"/>
      <c r="P85" s="35"/>
      <c r="R85" s="35"/>
      <c r="T85" s="35"/>
      <c r="V85" s="35"/>
      <c r="X85" s="35"/>
      <c r="Z85" s="35"/>
      <c r="AB85" s="35"/>
    </row>
    <row r="86" spans="1:29" x14ac:dyDescent="0.3">
      <c r="A86" s="10"/>
      <c r="B86" s="10"/>
      <c r="C86" s="10"/>
      <c r="D86" s="10"/>
      <c r="E86" s="10"/>
      <c r="F86" s="10"/>
      <c r="G86" s="10"/>
      <c r="H86" s="35"/>
      <c r="I86" s="10"/>
      <c r="J86" s="35"/>
      <c r="K86" s="17"/>
      <c r="L86" s="35"/>
      <c r="N86" s="35"/>
      <c r="P86" s="35"/>
      <c r="R86" s="35"/>
      <c r="T86" s="35"/>
      <c r="V86" s="35"/>
      <c r="X86" s="35"/>
      <c r="Z86" s="35"/>
      <c r="AB86" s="35"/>
    </row>
    <row r="87" spans="1:29" x14ac:dyDescent="0.3">
      <c r="A87" s="10"/>
      <c r="B87" s="10"/>
      <c r="C87" s="10"/>
      <c r="D87" s="10"/>
      <c r="E87" s="10"/>
      <c r="F87" s="10"/>
      <c r="G87" s="10"/>
      <c r="H87" s="35"/>
      <c r="I87" s="10"/>
      <c r="J87" s="35"/>
      <c r="K87" s="17"/>
      <c r="L87" s="35"/>
      <c r="N87" s="35"/>
      <c r="P87" s="35"/>
      <c r="R87" s="35"/>
      <c r="T87" s="35"/>
      <c r="V87" s="35"/>
      <c r="X87" s="35"/>
      <c r="Z87" s="35"/>
      <c r="AB87" s="35"/>
    </row>
    <row r="88" spans="1:29" x14ac:dyDescent="0.3">
      <c r="A88" s="10"/>
      <c r="B88" s="10"/>
      <c r="C88" s="10"/>
      <c r="D88" s="10"/>
      <c r="E88" s="10"/>
      <c r="F88" s="10"/>
      <c r="G88" s="10"/>
      <c r="H88" s="35"/>
      <c r="I88" s="10"/>
      <c r="J88" s="35"/>
      <c r="K88" s="17"/>
      <c r="L88" s="35"/>
      <c r="N88" s="35"/>
      <c r="P88" s="35"/>
      <c r="R88" s="35"/>
      <c r="T88" s="35"/>
      <c r="V88" s="35"/>
      <c r="X88" s="35"/>
      <c r="Z88" s="35"/>
      <c r="AB88" s="35"/>
    </row>
    <row r="89" spans="1:29" x14ac:dyDescent="0.3">
      <c r="A89" s="10"/>
      <c r="B89" s="10"/>
      <c r="C89" s="10"/>
      <c r="D89" s="10"/>
      <c r="E89" s="10"/>
      <c r="F89" s="10"/>
      <c r="G89" s="10"/>
      <c r="H89" s="35"/>
      <c r="I89" s="10"/>
      <c r="J89" s="35"/>
      <c r="K89" s="17"/>
      <c r="L89" s="35"/>
      <c r="N89" s="35"/>
      <c r="P89" s="35"/>
      <c r="R89" s="35"/>
      <c r="T89" s="35"/>
      <c r="V89" s="35"/>
      <c r="X89" s="35"/>
      <c r="Z89" s="35"/>
      <c r="AB89" s="35"/>
    </row>
    <row r="90" spans="1:29" x14ac:dyDescent="0.3">
      <c r="A90" s="10"/>
      <c r="B90" s="10"/>
      <c r="C90" s="10"/>
      <c r="D90" s="10"/>
      <c r="E90" s="10"/>
      <c r="F90" s="10"/>
      <c r="G90" s="10"/>
      <c r="H90" s="35"/>
      <c r="I90" s="10"/>
      <c r="J90" s="35"/>
      <c r="K90" s="17"/>
      <c r="L90" s="35"/>
      <c r="N90" s="35"/>
      <c r="P90" s="35"/>
      <c r="R90" s="35"/>
      <c r="T90" s="35"/>
      <c r="V90" s="35"/>
      <c r="X90" s="35"/>
      <c r="Z90" s="35"/>
      <c r="AB90" s="35"/>
    </row>
    <row r="91" spans="1:29" x14ac:dyDescent="0.3">
      <c r="A91" s="10"/>
      <c r="B91" s="10"/>
      <c r="C91" s="10"/>
      <c r="D91" s="10"/>
      <c r="E91" s="10"/>
      <c r="F91" s="10"/>
      <c r="G91" s="10"/>
      <c r="H91" s="35"/>
      <c r="I91" s="10"/>
      <c r="J91" s="35"/>
      <c r="K91" s="17"/>
      <c r="L91" s="35"/>
      <c r="N91" s="35"/>
      <c r="P91" s="35"/>
      <c r="R91" s="35"/>
      <c r="T91" s="35"/>
      <c r="V91" s="35"/>
      <c r="X91" s="35"/>
      <c r="Z91" s="35"/>
      <c r="AB91" s="35"/>
    </row>
    <row r="92" spans="1:29" x14ac:dyDescent="0.3">
      <c r="A92" s="10"/>
      <c r="B92" s="10"/>
      <c r="C92" s="10"/>
      <c r="D92" s="10"/>
      <c r="E92" s="10"/>
      <c r="F92" s="10"/>
      <c r="G92" s="10"/>
      <c r="H92" s="35"/>
      <c r="I92" s="10"/>
      <c r="J92" s="35"/>
      <c r="K92" s="17"/>
      <c r="L92" s="35"/>
      <c r="N92" s="35"/>
      <c r="P92" s="35"/>
      <c r="R92" s="35"/>
      <c r="T92" s="35"/>
      <c r="V92" s="35"/>
      <c r="X92" s="35"/>
      <c r="Z92" s="35"/>
      <c r="AB92" s="35"/>
    </row>
    <row r="93" spans="1:29" x14ac:dyDescent="0.3">
      <c r="A93" s="10"/>
      <c r="B93" s="10"/>
      <c r="C93" s="10"/>
      <c r="D93" s="10"/>
      <c r="E93" s="10"/>
      <c r="F93" s="10"/>
      <c r="G93" s="10"/>
      <c r="H93" s="35"/>
      <c r="I93" s="10"/>
      <c r="J93" s="35"/>
      <c r="K93" s="17"/>
      <c r="L93" s="35"/>
      <c r="N93" s="35"/>
      <c r="P93" s="35"/>
      <c r="R93" s="35"/>
      <c r="T93" s="35"/>
      <c r="V93" s="35"/>
      <c r="X93" s="35"/>
      <c r="Z93" s="35"/>
      <c r="AB93" s="35"/>
    </row>
    <row r="94" spans="1:29" x14ac:dyDescent="0.3">
      <c r="A94" s="10"/>
      <c r="B94" s="10"/>
      <c r="C94" s="10"/>
      <c r="D94" s="10"/>
      <c r="E94" s="10"/>
      <c r="F94" s="10"/>
      <c r="G94" s="10"/>
      <c r="H94" s="35"/>
      <c r="I94" s="10"/>
      <c r="J94" s="35"/>
      <c r="K94" s="17"/>
      <c r="L94" s="35"/>
      <c r="N94" s="35"/>
      <c r="P94" s="35"/>
      <c r="R94" s="35"/>
      <c r="T94" s="35"/>
      <c r="V94" s="35"/>
      <c r="X94" s="35"/>
      <c r="Z94" s="35"/>
      <c r="AB94" s="35"/>
    </row>
    <row r="95" spans="1:29" x14ac:dyDescent="0.3">
      <c r="A95" s="10"/>
      <c r="B95" s="10"/>
      <c r="C95" s="10"/>
      <c r="D95" s="10"/>
      <c r="E95" s="10"/>
      <c r="F95" s="10"/>
      <c r="G95" s="10"/>
      <c r="H95" s="35"/>
      <c r="I95" s="10"/>
      <c r="J95" s="35"/>
      <c r="K95" s="17"/>
      <c r="L95" s="35"/>
      <c r="N95" s="35"/>
      <c r="P95" s="35"/>
      <c r="R95" s="35"/>
      <c r="T95" s="35"/>
      <c r="V95" s="35"/>
      <c r="X95" s="35"/>
      <c r="Z95" s="35"/>
      <c r="AB95" s="35"/>
    </row>
    <row r="96" spans="1:29" x14ac:dyDescent="0.3">
      <c r="A96" s="10"/>
      <c r="B96" s="45"/>
      <c r="C96" s="10"/>
      <c r="D96" s="45"/>
      <c r="E96" s="10"/>
      <c r="F96" s="38"/>
      <c r="G96" s="10"/>
      <c r="H96" s="38"/>
      <c r="I96" s="10"/>
      <c r="J96" s="38"/>
      <c r="K96" s="17"/>
      <c r="L96" s="38"/>
      <c r="M96" s="38" t="s">
        <v>200</v>
      </c>
      <c r="N96" s="38"/>
      <c r="O96" s="38"/>
      <c r="P96" s="38"/>
      <c r="Q96" s="38" t="s">
        <v>200</v>
      </c>
      <c r="R96" s="38"/>
      <c r="S96" s="38" t="s">
        <v>200</v>
      </c>
      <c r="T96" s="38"/>
      <c r="U96" s="38" t="s">
        <v>200</v>
      </c>
      <c r="V96" s="38"/>
      <c r="W96" s="38"/>
      <c r="X96" s="38"/>
      <c r="Y96" s="38" t="s">
        <v>200</v>
      </c>
      <c r="Z96" s="38" t="s">
        <v>307</v>
      </c>
      <c r="AA96" s="38" t="s">
        <v>200</v>
      </c>
      <c r="AB96" s="38" t="s">
        <v>307</v>
      </c>
      <c r="AC96" s="38" t="s">
        <v>200</v>
      </c>
    </row>
    <row r="97" spans="1:28" x14ac:dyDescent="0.3">
      <c r="A97" s="10"/>
      <c r="B97" s="10"/>
      <c r="C97" s="10"/>
      <c r="D97" s="10"/>
      <c r="E97" s="10"/>
      <c r="F97" s="10"/>
      <c r="G97" s="10"/>
      <c r="H97" s="10"/>
      <c r="I97" s="10"/>
      <c r="J97" s="10"/>
      <c r="K97" s="17"/>
      <c r="L97" s="10"/>
      <c r="N97" s="10"/>
      <c r="P97" s="10"/>
      <c r="R97" s="10"/>
      <c r="T97" s="10"/>
      <c r="V97" s="10"/>
      <c r="X97" s="10"/>
      <c r="Z97" s="10"/>
      <c r="AB97" s="10"/>
    </row>
    <row r="98" spans="1:28" x14ac:dyDescent="0.3">
      <c r="A98" s="10"/>
      <c r="B98" s="10"/>
      <c r="C98" s="10"/>
      <c r="D98" s="10"/>
      <c r="E98" s="10"/>
      <c r="F98" s="10"/>
      <c r="G98" s="10"/>
      <c r="H98" s="10"/>
      <c r="I98" s="10"/>
      <c r="J98" s="10"/>
      <c r="K98" s="17"/>
      <c r="L98" s="10"/>
      <c r="N98" s="10"/>
      <c r="P98" s="10"/>
      <c r="R98" s="10"/>
      <c r="T98" s="10"/>
      <c r="V98" s="10"/>
      <c r="X98" s="10"/>
      <c r="Z98" s="10"/>
      <c r="AB98" s="10"/>
    </row>
    <row r="99" spans="1:28" x14ac:dyDescent="0.3">
      <c r="A99" s="10"/>
      <c r="B99" s="10"/>
      <c r="C99" s="10"/>
      <c r="D99" s="10"/>
      <c r="E99" s="10"/>
      <c r="F99" s="10"/>
      <c r="G99" s="10"/>
      <c r="H99" s="10"/>
      <c r="I99" s="10"/>
      <c r="J99" s="10"/>
      <c r="K99" s="17"/>
      <c r="L99" s="10"/>
      <c r="N99" s="10"/>
      <c r="P99" s="10"/>
      <c r="R99" s="10"/>
      <c r="T99" s="10"/>
      <c r="V99" s="10"/>
      <c r="X99" s="10"/>
      <c r="Z99" s="10"/>
      <c r="AB99" s="10"/>
    </row>
    <row r="100" spans="1:28" x14ac:dyDescent="0.3">
      <c r="A100" s="10"/>
      <c r="B100" s="10"/>
      <c r="C100" s="10"/>
      <c r="D100" s="10"/>
      <c r="E100" s="10"/>
      <c r="F100" s="10"/>
      <c r="G100" s="10"/>
      <c r="H100" s="10"/>
      <c r="I100" s="10"/>
      <c r="J100" s="10"/>
      <c r="K100" s="17"/>
      <c r="L100" s="10"/>
      <c r="N100" s="10"/>
      <c r="P100" s="10"/>
      <c r="R100" s="10"/>
      <c r="T100" s="10"/>
      <c r="V100" s="10"/>
      <c r="X100" s="10"/>
      <c r="Z100" s="10"/>
      <c r="AB100" s="10"/>
    </row>
    <row r="101" spans="1:28" x14ac:dyDescent="0.3">
      <c r="A101" s="10"/>
      <c r="B101" s="10"/>
      <c r="C101" s="10"/>
      <c r="D101" s="10"/>
      <c r="E101" s="10"/>
      <c r="F101" s="10"/>
      <c r="G101" s="10"/>
      <c r="H101" s="10"/>
      <c r="I101" s="10"/>
      <c r="J101" s="10"/>
      <c r="K101" s="17"/>
      <c r="L101" s="10"/>
      <c r="N101" s="10"/>
      <c r="P101" s="10"/>
      <c r="R101" s="10"/>
      <c r="T101" s="10"/>
      <c r="V101" s="10"/>
      <c r="X101" s="10"/>
      <c r="Z101" s="10"/>
      <c r="AB101" s="10"/>
    </row>
    <row r="102" spans="1:28" x14ac:dyDescent="0.3">
      <c r="A102" s="10"/>
      <c r="B102" s="10"/>
      <c r="C102" s="10"/>
      <c r="D102" s="10"/>
      <c r="E102" s="10"/>
      <c r="F102" s="10"/>
      <c r="G102" s="10"/>
      <c r="H102" s="10"/>
      <c r="I102" s="10"/>
      <c r="J102" s="10"/>
      <c r="K102" s="17"/>
      <c r="L102" s="10"/>
      <c r="N102" s="10"/>
      <c r="P102" s="10"/>
      <c r="R102" s="10"/>
      <c r="T102" s="10"/>
      <c r="V102" s="10"/>
      <c r="X102" s="10"/>
      <c r="Z102" s="10"/>
      <c r="AB102" s="10"/>
    </row>
    <row r="103" spans="1:28" x14ac:dyDescent="0.3">
      <c r="A103" s="10"/>
      <c r="B103" s="10"/>
      <c r="C103" s="10"/>
      <c r="D103" s="10"/>
      <c r="E103" s="10"/>
      <c r="F103" s="10"/>
      <c r="G103" s="10"/>
      <c r="H103" s="10"/>
      <c r="I103" s="10"/>
      <c r="J103" s="10"/>
      <c r="K103" s="17"/>
      <c r="L103" s="10"/>
      <c r="N103" s="10"/>
      <c r="P103" s="10"/>
      <c r="R103" s="10"/>
      <c r="T103" s="10"/>
      <c r="V103" s="10"/>
      <c r="X103" s="10"/>
      <c r="Z103" s="10"/>
      <c r="AB103" s="10"/>
    </row>
    <row r="104" spans="1:28" x14ac:dyDescent="0.3">
      <c r="A104" s="10"/>
      <c r="B104" s="10"/>
      <c r="C104" s="10"/>
      <c r="D104" s="10"/>
      <c r="E104" s="10"/>
      <c r="F104" s="10"/>
      <c r="G104" s="10"/>
      <c r="H104" s="10"/>
      <c r="I104" s="10"/>
      <c r="J104" s="10"/>
      <c r="K104" s="17"/>
      <c r="L104" s="10"/>
      <c r="N104" s="10"/>
      <c r="P104" s="10"/>
      <c r="R104" s="10"/>
      <c r="T104" s="10"/>
      <c r="V104" s="10"/>
      <c r="X104" s="10"/>
      <c r="Z104" s="10"/>
      <c r="AB104" s="10"/>
    </row>
    <row r="105" spans="1:28" x14ac:dyDescent="0.3">
      <c r="A105" s="10"/>
      <c r="B105" s="10"/>
      <c r="C105" s="10"/>
      <c r="D105" s="10"/>
      <c r="E105" s="10"/>
      <c r="F105" s="10"/>
      <c r="G105" s="10"/>
      <c r="H105" s="10"/>
      <c r="I105" s="10"/>
      <c r="J105" s="10"/>
      <c r="K105" s="17"/>
      <c r="L105" s="10"/>
      <c r="N105" s="10"/>
      <c r="P105" s="10"/>
      <c r="R105" s="10"/>
      <c r="T105" s="10"/>
      <c r="V105" s="10"/>
      <c r="X105" s="10"/>
      <c r="Z105" s="10"/>
      <c r="AB105" s="10"/>
    </row>
    <row r="106" spans="1:28" x14ac:dyDescent="0.3">
      <c r="A106" s="10"/>
      <c r="B106" s="10"/>
      <c r="C106" s="10"/>
      <c r="D106" s="10"/>
      <c r="E106" s="10"/>
      <c r="F106" s="10"/>
      <c r="G106" s="10"/>
      <c r="H106" s="10"/>
      <c r="I106" s="10"/>
      <c r="J106" s="10"/>
      <c r="K106" s="17"/>
      <c r="L106" s="10"/>
      <c r="N106" s="10"/>
      <c r="P106" s="10"/>
      <c r="R106" s="10"/>
      <c r="T106" s="10"/>
      <c r="V106" s="10"/>
      <c r="X106" s="10"/>
      <c r="Z106" s="10"/>
      <c r="AB106" s="10"/>
    </row>
    <row r="107" spans="1:28" x14ac:dyDescent="0.3">
      <c r="A107" s="10"/>
      <c r="B107" s="10"/>
      <c r="C107" s="10"/>
      <c r="D107" s="10"/>
      <c r="E107" s="10"/>
      <c r="F107" s="10"/>
      <c r="G107" s="10"/>
      <c r="H107" s="10"/>
      <c r="I107" s="10"/>
      <c r="J107" s="10"/>
      <c r="K107" s="17"/>
      <c r="L107" s="10"/>
      <c r="N107" s="10"/>
      <c r="P107" s="10"/>
      <c r="R107" s="10"/>
      <c r="T107" s="10"/>
      <c r="V107" s="10"/>
      <c r="X107" s="10"/>
      <c r="Z107" s="10"/>
      <c r="AB107" s="10"/>
    </row>
    <row r="108" spans="1:28" x14ac:dyDescent="0.3">
      <c r="A108" s="10"/>
      <c r="B108" s="10"/>
      <c r="C108" s="10"/>
      <c r="D108" s="10"/>
      <c r="E108" s="10"/>
      <c r="F108" s="10"/>
      <c r="G108" s="10"/>
      <c r="H108" s="10"/>
      <c r="I108" s="10"/>
      <c r="J108" s="10"/>
      <c r="K108" s="17"/>
      <c r="L108" s="10"/>
      <c r="N108" s="10"/>
      <c r="P108" s="10"/>
      <c r="R108" s="10"/>
      <c r="T108" s="10"/>
      <c r="V108" s="10"/>
      <c r="X108" s="10"/>
      <c r="Z108" s="10"/>
      <c r="AB108" s="10"/>
    </row>
    <row r="109" spans="1:28" x14ac:dyDescent="0.3">
      <c r="A109" s="10"/>
      <c r="B109" s="10"/>
      <c r="C109" s="10"/>
      <c r="D109" s="10"/>
      <c r="E109" s="10"/>
      <c r="F109" s="10"/>
      <c r="G109" s="10"/>
      <c r="H109" s="10"/>
      <c r="I109" s="10"/>
      <c r="J109" s="10"/>
      <c r="K109" s="17"/>
      <c r="L109" s="10"/>
      <c r="N109" s="10"/>
      <c r="P109" s="10"/>
      <c r="R109" s="10"/>
      <c r="T109" s="10"/>
      <c r="V109" s="10"/>
      <c r="X109" s="10"/>
      <c r="Z109" s="10"/>
      <c r="AB109" s="10"/>
    </row>
    <row r="110" spans="1:28" x14ac:dyDescent="0.3">
      <c r="A110" s="10"/>
      <c r="B110" s="10"/>
      <c r="C110" s="10"/>
      <c r="D110" s="10"/>
      <c r="E110" s="10"/>
      <c r="F110" s="10"/>
      <c r="G110" s="10"/>
      <c r="H110" s="10"/>
      <c r="I110" s="10"/>
      <c r="J110" s="10"/>
      <c r="K110" s="17"/>
      <c r="L110" s="10"/>
      <c r="N110" s="10"/>
      <c r="P110" s="10"/>
      <c r="R110" s="10"/>
      <c r="T110" s="10"/>
      <c r="V110" s="10"/>
      <c r="X110" s="10"/>
      <c r="Z110" s="10"/>
      <c r="AB110" s="10"/>
    </row>
    <row r="111" spans="1:28" x14ac:dyDescent="0.3">
      <c r="A111" s="10"/>
      <c r="B111" s="10"/>
      <c r="C111" s="10"/>
      <c r="D111" s="10"/>
      <c r="E111" s="10"/>
      <c r="F111" s="10"/>
      <c r="G111" s="10"/>
      <c r="H111" s="10"/>
      <c r="I111" s="10"/>
      <c r="J111" s="10"/>
      <c r="K111" s="17"/>
      <c r="L111" s="10"/>
      <c r="N111" s="10"/>
      <c r="P111" s="10"/>
      <c r="R111" s="10"/>
      <c r="T111" s="10"/>
      <c r="V111" s="10"/>
      <c r="X111" s="10"/>
      <c r="Z111" s="10"/>
      <c r="AB111" s="10"/>
    </row>
    <row r="112" spans="1:28" x14ac:dyDescent="0.3">
      <c r="A112" s="10"/>
      <c r="B112" s="10"/>
      <c r="C112" s="10"/>
      <c r="D112" s="10"/>
      <c r="E112" s="10"/>
      <c r="F112" s="10"/>
      <c r="G112" s="10"/>
      <c r="H112" s="10"/>
      <c r="I112" s="10"/>
      <c r="J112" s="10"/>
      <c r="K112" s="17"/>
      <c r="L112" s="10"/>
      <c r="N112" s="10"/>
      <c r="P112" s="10"/>
      <c r="R112" s="10"/>
      <c r="T112" s="10"/>
      <c r="V112" s="10"/>
      <c r="X112" s="10"/>
      <c r="Z112" s="10"/>
      <c r="AB112" s="10"/>
    </row>
    <row r="113" spans="1:28" x14ac:dyDescent="0.3">
      <c r="A113" s="10"/>
      <c r="B113" s="10"/>
      <c r="C113" s="10"/>
      <c r="D113" s="10"/>
      <c r="E113" s="10"/>
      <c r="F113" s="10"/>
      <c r="G113" s="10"/>
      <c r="H113" s="10"/>
      <c r="I113" s="10"/>
      <c r="J113" s="10"/>
      <c r="K113" s="17"/>
      <c r="L113" s="10"/>
      <c r="N113" s="10"/>
      <c r="P113" s="10"/>
      <c r="R113" s="10"/>
      <c r="T113" s="10"/>
      <c r="V113" s="10"/>
      <c r="X113" s="10"/>
      <c r="Z113" s="10"/>
      <c r="AB113" s="10"/>
    </row>
    <row r="114" spans="1:28" x14ac:dyDescent="0.3">
      <c r="A114" s="10"/>
      <c r="B114" s="10"/>
      <c r="C114" s="10"/>
      <c r="D114" s="10"/>
      <c r="E114" s="10"/>
      <c r="F114" s="10"/>
      <c r="G114" s="10"/>
      <c r="H114" s="10"/>
      <c r="I114" s="10"/>
      <c r="J114" s="10"/>
      <c r="K114" s="17"/>
      <c r="L114" s="10"/>
      <c r="N114" s="10"/>
      <c r="P114" s="10"/>
      <c r="R114" s="10"/>
      <c r="T114" s="10"/>
      <c r="V114" s="10"/>
      <c r="X114" s="10"/>
      <c r="Z114" s="10"/>
      <c r="AB114" s="10"/>
    </row>
    <row r="115" spans="1:28" x14ac:dyDescent="0.3">
      <c r="A115" s="10"/>
      <c r="B115" s="10"/>
      <c r="C115" s="10"/>
      <c r="D115" s="10"/>
      <c r="E115" s="10"/>
      <c r="F115" s="10"/>
      <c r="G115" s="10"/>
      <c r="H115" s="10"/>
      <c r="I115" s="10"/>
      <c r="J115" s="10"/>
      <c r="K115" s="17"/>
      <c r="L115" s="10"/>
      <c r="N115" s="10"/>
      <c r="P115" s="10"/>
      <c r="R115" s="10"/>
      <c r="T115" s="10"/>
      <c r="V115" s="10"/>
      <c r="X115" s="10"/>
      <c r="Z115" s="10"/>
      <c r="AB115" s="10"/>
    </row>
    <row r="116" spans="1:28" x14ac:dyDescent="0.3">
      <c r="A116" s="10"/>
      <c r="B116" s="10"/>
      <c r="C116" s="10"/>
      <c r="D116" s="10"/>
      <c r="E116" s="10"/>
      <c r="F116" s="10"/>
      <c r="G116" s="10"/>
      <c r="H116" s="10"/>
      <c r="I116" s="10"/>
      <c r="J116" s="10"/>
      <c r="K116" s="17"/>
      <c r="L116" s="10"/>
      <c r="N116" s="10"/>
      <c r="P116" s="10"/>
      <c r="R116" s="10"/>
      <c r="T116" s="10"/>
      <c r="V116" s="10"/>
      <c r="X116" s="10"/>
      <c r="Z116" s="10"/>
      <c r="AB116" s="10"/>
    </row>
    <row r="117" spans="1:28" x14ac:dyDescent="0.3">
      <c r="A117" s="10"/>
      <c r="B117" s="10"/>
      <c r="C117" s="10"/>
      <c r="D117" s="10"/>
      <c r="E117" s="10"/>
      <c r="F117" s="10"/>
      <c r="G117" s="10"/>
      <c r="H117" s="10"/>
      <c r="I117" s="10"/>
      <c r="J117" s="10"/>
      <c r="K117" s="17"/>
      <c r="L117" s="10"/>
      <c r="N117" s="10"/>
      <c r="P117" s="10"/>
      <c r="R117" s="10"/>
      <c r="T117" s="10"/>
      <c r="V117" s="10"/>
      <c r="X117" s="10"/>
      <c r="Z117" s="10"/>
      <c r="AB117" s="10"/>
    </row>
    <row r="118" spans="1:28" x14ac:dyDescent="0.3">
      <c r="A118" s="10"/>
      <c r="B118" s="10"/>
      <c r="C118" s="10"/>
      <c r="D118" s="10"/>
      <c r="E118" s="10"/>
      <c r="F118" s="10"/>
      <c r="G118" s="10"/>
      <c r="H118" s="10"/>
      <c r="I118" s="10"/>
      <c r="J118" s="10"/>
      <c r="K118" s="17"/>
      <c r="L118" s="10"/>
      <c r="N118" s="10"/>
      <c r="P118" s="10"/>
      <c r="R118" s="10"/>
      <c r="T118" s="10"/>
      <c r="V118" s="10"/>
      <c r="X118" s="10"/>
      <c r="Z118" s="10"/>
      <c r="AB118" s="10"/>
    </row>
    <row r="119" spans="1:28" x14ac:dyDescent="0.3">
      <c r="A119" s="10"/>
      <c r="B119" s="10"/>
      <c r="C119" s="10"/>
      <c r="D119" s="10"/>
      <c r="E119" s="10"/>
      <c r="F119" s="10"/>
      <c r="G119" s="10"/>
      <c r="H119" s="10"/>
      <c r="I119" s="10"/>
      <c r="J119" s="10"/>
      <c r="K119" s="17"/>
      <c r="L119" s="10"/>
      <c r="N119" s="10"/>
      <c r="P119" s="10"/>
      <c r="R119" s="10"/>
      <c r="T119" s="10"/>
      <c r="V119" s="10"/>
      <c r="X119" s="10"/>
      <c r="Z119" s="10"/>
      <c r="AB119" s="10"/>
    </row>
    <row r="120" spans="1:28" x14ac:dyDescent="0.3">
      <c r="A120" s="10"/>
      <c r="B120" s="10"/>
      <c r="C120" s="10"/>
      <c r="D120" s="10"/>
      <c r="E120" s="10"/>
      <c r="F120" s="10"/>
      <c r="G120" s="10"/>
      <c r="H120" s="10"/>
      <c r="I120" s="10"/>
      <c r="J120" s="10"/>
      <c r="K120" s="17"/>
      <c r="L120" s="10"/>
      <c r="N120" s="10"/>
      <c r="P120" s="10"/>
      <c r="R120" s="10"/>
      <c r="T120" s="10"/>
      <c r="V120" s="10"/>
      <c r="X120" s="10"/>
      <c r="Z120" s="10"/>
      <c r="AB120" s="10"/>
    </row>
    <row r="121" spans="1:28" x14ac:dyDescent="0.3">
      <c r="A121" s="10"/>
      <c r="B121" s="10"/>
      <c r="C121" s="10"/>
      <c r="D121" s="10"/>
      <c r="E121" s="10"/>
      <c r="F121" s="10"/>
      <c r="G121" s="10"/>
      <c r="H121" s="10"/>
      <c r="I121" s="10"/>
      <c r="J121" s="10"/>
      <c r="K121" s="12"/>
      <c r="L121" s="10"/>
      <c r="N121" s="10"/>
      <c r="P121" s="10"/>
      <c r="R121" s="10"/>
      <c r="T121" s="10"/>
      <c r="V121" s="10"/>
      <c r="X121" s="10"/>
      <c r="Z121" s="10"/>
      <c r="AB121" s="10"/>
    </row>
    <row r="122" spans="1:28" x14ac:dyDescent="0.3">
      <c r="A122" s="10"/>
      <c r="B122" s="10"/>
      <c r="C122" s="10"/>
      <c r="D122" s="10"/>
      <c r="E122" s="10"/>
      <c r="F122" s="10"/>
      <c r="G122" s="10"/>
      <c r="H122" s="10"/>
      <c r="I122" s="10"/>
      <c r="J122" s="10"/>
      <c r="K122" s="13"/>
      <c r="L122" s="10"/>
      <c r="N122" s="10"/>
      <c r="P122" s="10"/>
      <c r="R122" s="10"/>
      <c r="T122" s="10"/>
      <c r="V122" s="10"/>
      <c r="X122" s="10"/>
      <c r="Z122" s="10"/>
      <c r="AB122" s="10"/>
    </row>
    <row r="123" spans="1:28" x14ac:dyDescent="0.3">
      <c r="A123" s="10"/>
      <c r="B123" s="10"/>
      <c r="C123" s="10"/>
      <c r="D123" s="10"/>
      <c r="E123" s="10"/>
      <c r="F123" s="10"/>
      <c r="G123" s="10"/>
      <c r="H123" s="10"/>
      <c r="I123" s="10"/>
      <c r="J123" s="10"/>
      <c r="K123" s="17"/>
      <c r="L123" s="10"/>
      <c r="N123" s="10"/>
      <c r="P123" s="10"/>
      <c r="R123" s="10"/>
      <c r="T123" s="10"/>
      <c r="V123" s="10"/>
      <c r="X123" s="10"/>
      <c r="Z123" s="10"/>
      <c r="AB123" s="10"/>
    </row>
    <row r="124" spans="1:28" x14ac:dyDescent="0.3">
      <c r="A124" s="10"/>
      <c r="B124" s="10"/>
      <c r="C124" s="10"/>
      <c r="D124" s="10"/>
      <c r="E124" s="10"/>
      <c r="F124" s="10"/>
      <c r="G124" s="10"/>
      <c r="H124" s="10"/>
      <c r="I124" s="10"/>
      <c r="J124" s="10"/>
      <c r="K124" s="17"/>
      <c r="L124" s="10"/>
      <c r="N124" s="10"/>
      <c r="P124" s="10"/>
      <c r="R124" s="10"/>
      <c r="T124" s="10"/>
      <c r="V124" s="10"/>
      <c r="X124" s="10"/>
      <c r="Z124" s="10"/>
      <c r="AB124" s="10"/>
    </row>
    <row r="125" spans="1:28" x14ac:dyDescent="0.3">
      <c r="A125" s="10"/>
      <c r="B125" s="10"/>
      <c r="C125" s="10"/>
      <c r="D125" s="10"/>
      <c r="E125" s="10"/>
      <c r="F125" s="10"/>
      <c r="G125" s="10"/>
      <c r="H125" s="10"/>
      <c r="I125" s="10"/>
      <c r="J125" s="10"/>
      <c r="K125" s="9"/>
      <c r="L125" s="10"/>
      <c r="N125" s="10"/>
      <c r="P125" s="10"/>
      <c r="R125" s="10"/>
      <c r="T125" s="10"/>
      <c r="V125" s="10"/>
      <c r="X125" s="10"/>
      <c r="Z125" s="10"/>
      <c r="AB125" s="10"/>
    </row>
    <row r="126" spans="1:28" x14ac:dyDescent="0.3">
      <c r="A126" s="10"/>
      <c r="B126" s="10"/>
      <c r="C126" s="10"/>
      <c r="D126" s="10"/>
      <c r="E126" s="10"/>
      <c r="F126" s="10"/>
      <c r="G126" s="10"/>
      <c r="H126" s="10"/>
      <c r="I126" s="10"/>
      <c r="J126" s="10"/>
      <c r="K126" s="8"/>
      <c r="L126" s="10"/>
      <c r="N126" s="10"/>
      <c r="P126" s="10"/>
      <c r="R126" s="10"/>
      <c r="T126" s="10"/>
      <c r="V126" s="10"/>
      <c r="X126" s="10"/>
      <c r="Z126" s="10"/>
      <c r="AB126" s="10"/>
    </row>
    <row r="127" spans="1:28" x14ac:dyDescent="0.3">
      <c r="A127" s="10"/>
      <c r="B127" s="10"/>
      <c r="C127" s="10"/>
      <c r="D127" s="10"/>
      <c r="E127" s="10"/>
      <c r="F127" s="10"/>
      <c r="G127" s="10"/>
      <c r="H127" s="10"/>
      <c r="I127" s="10"/>
      <c r="J127" s="10"/>
      <c r="K127" s="17"/>
      <c r="L127" s="10"/>
      <c r="N127" s="10"/>
      <c r="P127" s="10"/>
      <c r="R127" s="10"/>
      <c r="T127" s="10"/>
      <c r="V127" s="10"/>
      <c r="X127" s="10"/>
      <c r="Z127" s="10"/>
      <c r="AB127" s="10"/>
    </row>
    <row r="128" spans="1:28" x14ac:dyDescent="0.3">
      <c r="A128" s="10"/>
      <c r="B128" s="10"/>
      <c r="C128" s="10"/>
      <c r="D128" s="10"/>
      <c r="E128" s="10"/>
      <c r="F128" s="10"/>
      <c r="G128" s="10"/>
      <c r="H128" s="10"/>
      <c r="I128" s="10"/>
      <c r="J128" s="10"/>
      <c r="K128" s="17"/>
      <c r="L128" s="10"/>
      <c r="N128" s="10"/>
      <c r="P128" s="10"/>
      <c r="R128" s="10"/>
      <c r="T128" s="10"/>
      <c r="V128" s="10"/>
      <c r="X128" s="10"/>
      <c r="Z128" s="10"/>
      <c r="AB128" s="10"/>
    </row>
    <row r="129" spans="1:28" x14ac:dyDescent="0.3">
      <c r="A129" s="10"/>
      <c r="B129" s="10"/>
      <c r="C129" s="10"/>
      <c r="D129" s="10"/>
      <c r="E129" s="10"/>
      <c r="F129" s="10"/>
      <c r="G129" s="10"/>
      <c r="H129" s="10"/>
      <c r="I129" s="10"/>
      <c r="J129" s="10"/>
      <c r="K129" s="12"/>
      <c r="L129" s="10"/>
      <c r="N129" s="10"/>
      <c r="P129" s="10"/>
      <c r="R129" s="10"/>
      <c r="T129" s="10"/>
      <c r="V129" s="10"/>
      <c r="X129" s="10"/>
      <c r="Z129" s="10"/>
      <c r="AB129" s="10"/>
    </row>
    <row r="130" spans="1:28" x14ac:dyDescent="0.3">
      <c r="A130" s="10"/>
      <c r="B130" s="10"/>
      <c r="C130" s="10"/>
      <c r="D130" s="10"/>
      <c r="E130" s="10"/>
      <c r="F130" s="10"/>
      <c r="G130" s="10"/>
      <c r="H130" s="10"/>
      <c r="I130" s="10"/>
      <c r="J130" s="10"/>
      <c r="K130" s="13"/>
      <c r="L130" s="10"/>
      <c r="N130" s="10"/>
      <c r="P130" s="10"/>
      <c r="R130" s="10"/>
      <c r="T130" s="10"/>
      <c r="V130" s="10"/>
      <c r="X130" s="10"/>
      <c r="Z130" s="10"/>
      <c r="AB130" s="10"/>
    </row>
    <row r="131" spans="1:28" x14ac:dyDescent="0.3">
      <c r="A131" s="10"/>
      <c r="B131" s="10"/>
      <c r="C131" s="10"/>
      <c r="D131" s="10"/>
      <c r="E131" s="10"/>
      <c r="F131" s="10"/>
      <c r="G131" s="10"/>
      <c r="H131" s="10"/>
      <c r="I131" s="10"/>
      <c r="J131" s="10"/>
      <c r="K131" s="17"/>
      <c r="L131" s="10"/>
      <c r="N131" s="10"/>
      <c r="P131" s="10"/>
      <c r="R131" s="10"/>
      <c r="T131" s="10"/>
      <c r="V131" s="10"/>
      <c r="X131" s="10"/>
      <c r="Z131" s="10"/>
      <c r="AB131" s="10"/>
    </row>
    <row r="132" spans="1:28" x14ac:dyDescent="0.3">
      <c r="A132" s="10"/>
      <c r="B132" s="10"/>
      <c r="C132" s="10"/>
      <c r="D132" s="10"/>
      <c r="E132" s="10"/>
      <c r="F132" s="10"/>
      <c r="G132" s="10"/>
      <c r="H132" s="10"/>
      <c r="I132" s="10"/>
      <c r="J132" s="10"/>
      <c r="K132" s="17"/>
      <c r="L132" s="10"/>
      <c r="N132" s="10"/>
      <c r="P132" s="10"/>
      <c r="R132" s="10"/>
      <c r="T132" s="10"/>
      <c r="V132" s="10"/>
      <c r="X132" s="10"/>
      <c r="Z132" s="10"/>
      <c r="AB132" s="10"/>
    </row>
    <row r="133" spans="1:28" x14ac:dyDescent="0.3">
      <c r="A133" s="10"/>
      <c r="B133" s="10"/>
      <c r="C133" s="10"/>
      <c r="D133" s="10"/>
      <c r="E133" s="10"/>
      <c r="F133" s="10"/>
      <c r="G133" s="10"/>
      <c r="H133" s="10"/>
      <c r="I133" s="10"/>
      <c r="J133" s="10"/>
      <c r="K133" s="12"/>
      <c r="L133" s="10"/>
      <c r="N133" s="10"/>
      <c r="P133" s="10"/>
      <c r="R133" s="10"/>
      <c r="T133" s="10"/>
      <c r="V133" s="10"/>
      <c r="X133" s="10"/>
      <c r="Z133" s="10"/>
      <c r="AB133" s="10"/>
    </row>
    <row r="134" spans="1:28" x14ac:dyDescent="0.3">
      <c r="A134" s="10"/>
      <c r="B134" s="10"/>
      <c r="C134" s="10"/>
      <c r="D134" s="10"/>
      <c r="E134" s="10"/>
      <c r="F134" s="10"/>
      <c r="G134" s="10"/>
      <c r="H134" s="10"/>
      <c r="I134" s="10"/>
      <c r="J134" s="10"/>
      <c r="K134" s="13"/>
      <c r="L134" s="10"/>
      <c r="N134" s="10"/>
      <c r="P134" s="10"/>
      <c r="R134" s="10"/>
      <c r="T134" s="10"/>
      <c r="V134" s="10"/>
      <c r="X134" s="10"/>
      <c r="Z134" s="10"/>
      <c r="AB134" s="10"/>
    </row>
    <row r="135" spans="1:28" x14ac:dyDescent="0.3">
      <c r="A135" s="10"/>
      <c r="B135" s="10"/>
      <c r="C135" s="10"/>
      <c r="D135" s="10"/>
      <c r="E135" s="10"/>
      <c r="F135" s="10"/>
      <c r="G135" s="10"/>
      <c r="H135" s="10"/>
      <c r="I135" s="10"/>
      <c r="J135" s="10"/>
      <c r="K135" s="17"/>
      <c r="L135" s="10"/>
      <c r="N135" s="10"/>
      <c r="P135" s="10"/>
      <c r="R135" s="10"/>
      <c r="T135" s="10"/>
      <c r="V135" s="10"/>
      <c r="X135" s="10"/>
      <c r="Z135" s="10"/>
      <c r="AB135" s="10"/>
    </row>
    <row r="136" spans="1:28" x14ac:dyDescent="0.3">
      <c r="A136" s="10"/>
      <c r="B136" s="10"/>
      <c r="C136" s="10"/>
      <c r="D136" s="10"/>
      <c r="E136" s="10"/>
      <c r="F136" s="10"/>
      <c r="G136" s="10"/>
      <c r="H136" s="10"/>
      <c r="I136" s="10"/>
      <c r="J136" s="10"/>
      <c r="K136" s="17"/>
      <c r="L136" s="10"/>
      <c r="N136" s="10"/>
      <c r="P136" s="10"/>
      <c r="R136" s="10"/>
      <c r="T136" s="10"/>
      <c r="V136" s="10"/>
      <c r="X136" s="10"/>
      <c r="Z136" s="10"/>
      <c r="AB136" s="10"/>
    </row>
    <row r="137" spans="1:28" x14ac:dyDescent="0.3">
      <c r="A137" s="10"/>
      <c r="B137" s="10"/>
      <c r="C137" s="10"/>
      <c r="D137" s="10"/>
      <c r="E137" s="10"/>
      <c r="F137" s="10"/>
      <c r="G137" s="10"/>
      <c r="H137" s="10"/>
      <c r="I137" s="10"/>
      <c r="J137" s="10"/>
      <c r="K137" s="9"/>
      <c r="L137" s="10"/>
      <c r="N137" s="10"/>
      <c r="P137" s="10"/>
      <c r="R137" s="10"/>
      <c r="T137" s="10"/>
      <c r="V137" s="10"/>
      <c r="X137" s="10"/>
      <c r="Z137" s="10"/>
      <c r="AB137" s="10"/>
    </row>
    <row r="138" spans="1:28" x14ac:dyDescent="0.3">
      <c r="A138" s="10"/>
      <c r="B138" s="10"/>
      <c r="C138" s="10"/>
      <c r="D138" s="10"/>
      <c r="E138" s="10"/>
      <c r="F138" s="10"/>
      <c r="G138" s="10"/>
      <c r="H138" s="10"/>
      <c r="I138" s="10"/>
      <c r="J138" s="10"/>
      <c r="K138" s="8"/>
      <c r="L138" s="10"/>
      <c r="N138" s="10"/>
      <c r="P138" s="10"/>
      <c r="R138" s="10"/>
      <c r="T138" s="10"/>
      <c r="V138" s="10"/>
      <c r="X138" s="10"/>
      <c r="Z138" s="10"/>
      <c r="AB138" s="10"/>
    </row>
    <row r="139" spans="1:28" x14ac:dyDescent="0.3">
      <c r="A139" s="10"/>
      <c r="B139" s="10"/>
      <c r="C139" s="10"/>
      <c r="D139" s="10"/>
      <c r="E139" s="10"/>
      <c r="F139" s="10"/>
      <c r="G139" s="10"/>
      <c r="H139" s="10"/>
      <c r="I139" s="10"/>
      <c r="J139" s="10"/>
      <c r="K139" s="17"/>
      <c r="L139" s="10"/>
      <c r="N139" s="10"/>
      <c r="P139" s="10"/>
      <c r="R139" s="10"/>
      <c r="T139" s="10"/>
      <c r="V139" s="10"/>
      <c r="X139" s="10"/>
      <c r="Z139" s="10"/>
      <c r="AB139" s="10"/>
    </row>
    <row r="140" spans="1:28" x14ac:dyDescent="0.3">
      <c r="A140" s="10"/>
      <c r="B140" s="10"/>
      <c r="C140" s="10"/>
      <c r="D140" s="10"/>
      <c r="E140" s="10"/>
      <c r="F140" s="10"/>
      <c r="G140" s="10"/>
      <c r="H140" s="10"/>
      <c r="I140" s="10"/>
      <c r="J140" s="10"/>
      <c r="K140" s="17"/>
      <c r="L140" s="10"/>
      <c r="N140" s="10"/>
      <c r="P140" s="10"/>
      <c r="R140" s="10"/>
      <c r="T140" s="10"/>
      <c r="V140" s="10"/>
      <c r="X140" s="10"/>
      <c r="Z140" s="10"/>
      <c r="AB140" s="10"/>
    </row>
    <row r="141" spans="1:28" x14ac:dyDescent="0.3">
      <c r="A141" s="10"/>
      <c r="B141" s="10"/>
      <c r="C141" s="10"/>
      <c r="D141" s="10"/>
      <c r="E141" s="10"/>
      <c r="F141" s="10"/>
      <c r="G141" s="10"/>
      <c r="H141" s="10"/>
      <c r="I141" s="10"/>
      <c r="J141" s="10"/>
      <c r="K141" s="17"/>
      <c r="L141" s="10"/>
      <c r="N141" s="10"/>
      <c r="P141" s="10"/>
      <c r="R141" s="10"/>
      <c r="T141" s="10"/>
      <c r="V141" s="10"/>
      <c r="X141" s="10"/>
      <c r="Z141" s="10"/>
      <c r="AB141" s="10"/>
    </row>
    <row r="142" spans="1:28" x14ac:dyDescent="0.3">
      <c r="A142" s="10"/>
      <c r="B142" s="10"/>
      <c r="C142" s="10"/>
      <c r="D142" s="10"/>
      <c r="E142" s="10"/>
      <c r="F142" s="10"/>
      <c r="G142" s="10"/>
      <c r="H142" s="10"/>
      <c r="I142" s="10"/>
      <c r="J142" s="10"/>
      <c r="K142" s="17"/>
      <c r="L142" s="10"/>
      <c r="N142" s="10"/>
      <c r="P142" s="10"/>
      <c r="R142" s="10"/>
      <c r="T142" s="10"/>
      <c r="V142" s="10"/>
      <c r="X142" s="10"/>
      <c r="Z142" s="10"/>
      <c r="AB142" s="10"/>
    </row>
    <row r="143" spans="1:28" x14ac:dyDescent="0.3">
      <c r="A143" s="10"/>
      <c r="B143" s="10"/>
      <c r="C143" s="10"/>
      <c r="D143" s="10"/>
      <c r="E143" s="10"/>
      <c r="F143" s="10"/>
      <c r="G143" s="10"/>
      <c r="H143" s="10"/>
      <c r="I143" s="10"/>
      <c r="J143" s="10"/>
      <c r="K143" s="17"/>
      <c r="L143" s="10"/>
      <c r="N143" s="10"/>
      <c r="P143" s="10"/>
      <c r="R143" s="10"/>
      <c r="T143" s="10"/>
      <c r="V143" s="10"/>
      <c r="X143" s="10"/>
      <c r="Z143" s="10"/>
      <c r="AB143" s="10"/>
    </row>
    <row r="144" spans="1:28" x14ac:dyDescent="0.3">
      <c r="A144" s="10"/>
      <c r="B144" s="10"/>
      <c r="C144" s="10"/>
      <c r="D144" s="10"/>
      <c r="E144" s="10"/>
      <c r="F144" s="10"/>
      <c r="G144" s="10"/>
      <c r="H144" s="10"/>
      <c r="I144" s="10"/>
      <c r="J144" s="10"/>
      <c r="K144" s="17"/>
      <c r="L144" s="10"/>
      <c r="N144" s="10"/>
      <c r="P144" s="10"/>
      <c r="R144" s="10"/>
      <c r="T144" s="10"/>
      <c r="V144" s="10"/>
      <c r="X144" s="10"/>
      <c r="Z144" s="10"/>
      <c r="AB144" s="10"/>
    </row>
    <row r="145" spans="1:28" x14ac:dyDescent="0.3">
      <c r="A145" s="10"/>
      <c r="B145" s="10"/>
      <c r="C145" s="10"/>
      <c r="D145" s="10"/>
      <c r="E145" s="10"/>
      <c r="F145" s="10"/>
      <c r="G145" s="10"/>
      <c r="H145" s="10"/>
      <c r="I145" s="10"/>
      <c r="J145" s="10"/>
      <c r="K145" s="17"/>
      <c r="L145" s="10"/>
      <c r="N145" s="10"/>
      <c r="P145" s="10"/>
      <c r="R145" s="10"/>
      <c r="T145" s="10"/>
      <c r="V145" s="10"/>
      <c r="X145" s="10"/>
      <c r="Z145" s="10"/>
      <c r="AB145" s="10"/>
    </row>
    <row r="146" spans="1:28" x14ac:dyDescent="0.3">
      <c r="A146" s="10"/>
      <c r="B146" s="10"/>
      <c r="C146" s="10"/>
      <c r="D146" s="10"/>
      <c r="E146" s="10"/>
      <c r="F146" s="10"/>
      <c r="G146" s="10"/>
      <c r="H146" s="10"/>
      <c r="I146" s="10"/>
      <c r="J146" s="10"/>
      <c r="K146" s="17"/>
      <c r="L146" s="10"/>
      <c r="N146" s="10"/>
      <c r="P146" s="10"/>
      <c r="R146" s="10"/>
      <c r="T146" s="10"/>
      <c r="V146" s="10"/>
      <c r="X146" s="10"/>
      <c r="Z146" s="10"/>
      <c r="AB146" s="10"/>
    </row>
    <row r="147" spans="1:28" x14ac:dyDescent="0.3">
      <c r="A147" s="10"/>
      <c r="B147" s="10"/>
      <c r="C147" s="10"/>
      <c r="D147" s="10"/>
      <c r="E147" s="10"/>
      <c r="F147" s="10"/>
      <c r="G147" s="10"/>
      <c r="H147" s="10"/>
      <c r="I147" s="10"/>
      <c r="J147" s="10"/>
      <c r="K147" s="17"/>
      <c r="L147" s="10"/>
      <c r="N147" s="10"/>
      <c r="P147" s="10"/>
      <c r="R147" s="10"/>
      <c r="T147" s="10"/>
      <c r="V147" s="10"/>
      <c r="X147" s="10"/>
      <c r="Z147" s="10"/>
      <c r="AB147" s="10"/>
    </row>
    <row r="148" spans="1:28" x14ac:dyDescent="0.3">
      <c r="A148" s="10"/>
      <c r="B148" s="10"/>
      <c r="C148" s="10"/>
      <c r="D148" s="10"/>
      <c r="E148" s="10"/>
      <c r="F148" s="10"/>
      <c r="G148" s="10"/>
      <c r="H148" s="10"/>
      <c r="I148" s="10"/>
      <c r="J148" s="10"/>
      <c r="K148" s="17"/>
      <c r="L148" s="10"/>
      <c r="N148" s="10"/>
      <c r="P148" s="10"/>
      <c r="R148" s="10"/>
      <c r="T148" s="10"/>
      <c r="V148" s="10"/>
      <c r="X148" s="10"/>
      <c r="Z148" s="10"/>
      <c r="AB148" s="10"/>
    </row>
    <row r="149" spans="1:28" x14ac:dyDescent="0.3">
      <c r="A149" s="10"/>
      <c r="B149" s="10"/>
      <c r="C149" s="10"/>
      <c r="D149" s="10"/>
      <c r="E149" s="10"/>
      <c r="F149" s="10"/>
      <c r="G149" s="10"/>
      <c r="H149" s="10"/>
      <c r="I149" s="10"/>
      <c r="J149" s="10"/>
      <c r="K149" s="17"/>
      <c r="L149" s="10"/>
      <c r="N149" s="10"/>
      <c r="P149" s="10"/>
      <c r="R149" s="10"/>
      <c r="T149" s="10"/>
      <c r="V149" s="10"/>
      <c r="X149" s="10"/>
      <c r="Z149" s="10"/>
      <c r="AB149" s="10"/>
    </row>
    <row r="150" spans="1:28" x14ac:dyDescent="0.3">
      <c r="A150" s="10"/>
      <c r="B150" s="10"/>
      <c r="C150" s="10"/>
      <c r="D150" s="10"/>
      <c r="E150" s="10"/>
      <c r="F150" s="10"/>
      <c r="G150" s="10"/>
      <c r="H150" s="10"/>
      <c r="I150" s="10"/>
      <c r="J150" s="10"/>
      <c r="K150" s="17"/>
      <c r="L150" s="10"/>
      <c r="N150" s="10"/>
      <c r="P150" s="10"/>
      <c r="R150" s="10"/>
      <c r="T150" s="10"/>
      <c r="V150" s="10"/>
      <c r="X150" s="10"/>
      <c r="Z150" s="10"/>
      <c r="AB150" s="10"/>
    </row>
    <row r="151" spans="1:28" x14ac:dyDescent="0.3">
      <c r="A151" s="10"/>
      <c r="B151" s="10"/>
      <c r="C151" s="10"/>
      <c r="D151" s="10"/>
      <c r="E151" s="10"/>
      <c r="F151" s="10"/>
      <c r="G151" s="10"/>
      <c r="H151" s="10"/>
      <c r="I151" s="10"/>
      <c r="J151" s="10"/>
      <c r="K151" s="17"/>
      <c r="L151" s="10"/>
      <c r="N151" s="10"/>
      <c r="P151" s="10"/>
      <c r="R151" s="10"/>
      <c r="T151" s="10"/>
      <c r="V151" s="10"/>
      <c r="X151" s="10"/>
      <c r="Z151" s="10"/>
      <c r="AB151" s="10"/>
    </row>
    <row r="152" spans="1:28" x14ac:dyDescent="0.3">
      <c r="A152" s="10"/>
      <c r="B152" s="10"/>
      <c r="C152" s="10"/>
      <c r="D152" s="10"/>
      <c r="E152" s="10"/>
      <c r="F152" s="10"/>
      <c r="G152" s="10"/>
      <c r="H152" s="10"/>
      <c r="I152" s="10"/>
      <c r="J152" s="10"/>
      <c r="K152" s="17"/>
      <c r="L152" s="10"/>
      <c r="N152" s="10"/>
      <c r="P152" s="10"/>
      <c r="R152" s="10"/>
      <c r="T152" s="10"/>
      <c r="V152" s="10"/>
      <c r="X152" s="10"/>
      <c r="Z152" s="10"/>
      <c r="AB152" s="10"/>
    </row>
    <row r="153" spans="1:28" x14ac:dyDescent="0.3">
      <c r="A153" s="10"/>
      <c r="B153" s="10"/>
      <c r="C153" s="10"/>
      <c r="D153" s="10"/>
      <c r="E153" s="10"/>
      <c r="F153" s="10"/>
      <c r="G153" s="10"/>
      <c r="H153" s="10"/>
      <c r="I153" s="10"/>
      <c r="J153" s="10"/>
      <c r="K153" s="17"/>
      <c r="L153" s="10"/>
      <c r="N153" s="10"/>
      <c r="P153" s="10"/>
      <c r="R153" s="10"/>
      <c r="T153" s="10"/>
      <c r="V153" s="10"/>
      <c r="X153" s="10"/>
      <c r="Z153" s="10"/>
      <c r="AB153" s="10"/>
    </row>
    <row r="154" spans="1:28" x14ac:dyDescent="0.3">
      <c r="A154" s="10"/>
      <c r="B154" s="10"/>
      <c r="C154" s="10"/>
      <c r="D154" s="10"/>
      <c r="E154" s="10"/>
      <c r="F154" s="10"/>
      <c r="G154" s="10"/>
      <c r="H154" s="10"/>
      <c r="I154" s="10"/>
      <c r="J154" s="10"/>
      <c r="K154" s="17"/>
      <c r="L154" s="10"/>
      <c r="N154" s="10"/>
      <c r="P154" s="10"/>
      <c r="R154" s="10"/>
      <c r="T154" s="10"/>
      <c r="V154" s="10"/>
      <c r="X154" s="10"/>
      <c r="Z154" s="10"/>
      <c r="AB154" s="10"/>
    </row>
    <row r="155" spans="1:28" x14ac:dyDescent="0.3">
      <c r="A155" s="10"/>
      <c r="B155" s="10"/>
      <c r="C155" s="10"/>
      <c r="D155" s="10"/>
      <c r="E155" s="10"/>
      <c r="F155" s="10"/>
      <c r="G155" s="10"/>
      <c r="H155" s="10"/>
      <c r="I155" s="10"/>
      <c r="J155" s="10"/>
      <c r="K155" s="17"/>
      <c r="L155" s="10"/>
      <c r="N155" s="10"/>
      <c r="P155" s="10"/>
      <c r="R155" s="10"/>
      <c r="T155" s="10"/>
      <c r="V155" s="10"/>
      <c r="X155" s="10"/>
      <c r="Z155" s="10"/>
      <c r="AB155" s="10"/>
    </row>
    <row r="156" spans="1:28" x14ac:dyDescent="0.3">
      <c r="A156" s="10"/>
      <c r="B156" s="10"/>
      <c r="C156" s="10"/>
      <c r="D156" s="10"/>
      <c r="E156" s="10"/>
      <c r="F156" s="10"/>
      <c r="G156" s="10"/>
      <c r="H156" s="10"/>
      <c r="I156" s="10"/>
      <c r="J156" s="10"/>
      <c r="K156" s="17"/>
      <c r="L156" s="10"/>
      <c r="N156" s="10"/>
      <c r="P156" s="10"/>
      <c r="R156" s="10"/>
      <c r="T156" s="10"/>
      <c r="V156" s="10"/>
      <c r="X156" s="10"/>
      <c r="Z156" s="10"/>
      <c r="AB156" s="10"/>
    </row>
    <row r="157" spans="1:28" x14ac:dyDescent="0.3">
      <c r="A157" s="10"/>
      <c r="B157" s="10"/>
      <c r="C157" s="10"/>
      <c r="D157" s="10"/>
      <c r="E157" s="10"/>
      <c r="F157" s="10"/>
      <c r="G157" s="10"/>
      <c r="H157" s="10"/>
      <c r="I157" s="10"/>
      <c r="J157" s="10"/>
      <c r="K157" s="17"/>
      <c r="L157" s="10"/>
      <c r="N157" s="10"/>
      <c r="P157" s="10"/>
      <c r="R157" s="10"/>
      <c r="T157" s="10"/>
      <c r="V157" s="10"/>
      <c r="X157" s="10"/>
      <c r="Z157" s="10"/>
      <c r="AB157" s="10"/>
    </row>
    <row r="158" spans="1:28" x14ac:dyDescent="0.3">
      <c r="A158" s="10"/>
      <c r="B158" s="10"/>
      <c r="C158" s="10"/>
      <c r="D158" s="10"/>
      <c r="E158" s="10"/>
      <c r="F158" s="10"/>
      <c r="G158" s="10"/>
      <c r="H158" s="10"/>
      <c r="I158" s="10"/>
      <c r="J158" s="10"/>
      <c r="K158" s="17"/>
      <c r="L158" s="10"/>
      <c r="N158" s="10"/>
      <c r="P158" s="10"/>
      <c r="R158" s="10"/>
      <c r="T158" s="10"/>
      <c r="V158" s="10"/>
      <c r="X158" s="10"/>
      <c r="Z158" s="10"/>
      <c r="AB158" s="10"/>
    </row>
    <row r="159" spans="1:28" x14ac:dyDescent="0.3">
      <c r="A159" s="10"/>
      <c r="B159" s="10"/>
      <c r="C159" s="10"/>
      <c r="D159" s="10"/>
      <c r="E159" s="10"/>
      <c r="F159" s="10"/>
      <c r="G159" s="10"/>
      <c r="H159" s="10"/>
      <c r="I159" s="10"/>
      <c r="J159" s="10"/>
      <c r="K159" s="17"/>
      <c r="L159" s="10"/>
      <c r="N159" s="10"/>
      <c r="P159" s="10"/>
      <c r="R159" s="10"/>
      <c r="T159" s="10"/>
      <c r="V159" s="10"/>
      <c r="X159" s="10"/>
      <c r="Z159" s="10"/>
      <c r="AB159" s="10"/>
    </row>
    <row r="160" spans="1:28" x14ac:dyDescent="0.3">
      <c r="A160" s="10"/>
      <c r="B160" s="10"/>
      <c r="C160" s="10"/>
      <c r="D160" s="10"/>
      <c r="E160" s="10"/>
      <c r="F160" s="10"/>
      <c r="G160" s="10"/>
      <c r="H160" s="10"/>
      <c r="I160" s="10"/>
      <c r="J160" s="10"/>
      <c r="K160" s="17"/>
      <c r="L160" s="10"/>
      <c r="N160" s="10"/>
      <c r="P160" s="10"/>
      <c r="R160" s="10"/>
      <c r="T160" s="10"/>
      <c r="V160" s="10"/>
      <c r="X160" s="10"/>
      <c r="Z160" s="10"/>
      <c r="AB160" s="10"/>
    </row>
    <row r="161" spans="1:28" x14ac:dyDescent="0.3">
      <c r="A161" s="10"/>
      <c r="B161" s="10"/>
      <c r="C161" s="10"/>
      <c r="D161" s="10"/>
      <c r="E161" s="10"/>
      <c r="F161" s="10"/>
      <c r="G161" s="10"/>
      <c r="H161" s="10"/>
      <c r="I161" s="10"/>
      <c r="J161" s="10"/>
      <c r="K161" s="38" t="s">
        <v>200</v>
      </c>
      <c r="L161" s="10"/>
      <c r="N161" s="10"/>
      <c r="P161" s="10"/>
      <c r="R161" s="10"/>
      <c r="T161" s="10"/>
      <c r="V161" s="10"/>
      <c r="X161" s="10"/>
      <c r="Z161" s="10"/>
      <c r="AB161" s="10"/>
    </row>
  </sheetData>
  <sortState xmlns:xlrd2="http://schemas.microsoft.com/office/spreadsheetml/2017/richdata2" ref="K4:K38">
    <sortCondition ref="K4:K38"/>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552E8-BFCA-4CB4-BC8E-B6299B5F58AC}">
  <sheetPr codeName="Sheet2"/>
  <dimension ref="A1:D50"/>
  <sheetViews>
    <sheetView workbookViewId="0"/>
  </sheetViews>
  <sheetFormatPr defaultRowHeight="14.4" x14ac:dyDescent="0.3"/>
  <cols>
    <col min="1" max="1" width="29.77734375" customWidth="1"/>
    <col min="2" max="2" width="24.21875" customWidth="1"/>
    <col min="3" max="3" width="19.44140625" bestFit="1" customWidth="1"/>
    <col min="4" max="4" width="152.88671875" bestFit="1" customWidth="1"/>
  </cols>
  <sheetData>
    <row r="1" spans="1:4" x14ac:dyDescent="0.3">
      <c r="A1" s="63" t="s">
        <v>1090</v>
      </c>
      <c r="B1" s="15" t="s">
        <v>1089</v>
      </c>
      <c r="C1" s="15" t="s">
        <v>718</v>
      </c>
      <c r="D1" s="15" t="s">
        <v>719</v>
      </c>
    </row>
    <row r="2" spans="1:4" x14ac:dyDescent="0.3">
      <c r="A2" t="s">
        <v>817</v>
      </c>
      <c r="B2" t="s">
        <v>5</v>
      </c>
      <c r="C2" s="2" t="s">
        <v>731</v>
      </c>
      <c r="D2" t="s">
        <v>732</v>
      </c>
    </row>
    <row r="3" spans="1:4" x14ac:dyDescent="0.3">
      <c r="A3" t="s">
        <v>1094</v>
      </c>
      <c r="B3" t="s">
        <v>233</v>
      </c>
      <c r="C3" s="2" t="s">
        <v>739</v>
      </c>
      <c r="D3" t="s">
        <v>233</v>
      </c>
    </row>
    <row r="4" spans="1:4" x14ac:dyDescent="0.3">
      <c r="A4" t="s">
        <v>1094</v>
      </c>
      <c r="B4" t="s">
        <v>733</v>
      </c>
      <c r="C4" s="2" t="s">
        <v>734</v>
      </c>
      <c r="D4" t="s">
        <v>735</v>
      </c>
    </row>
    <row r="5" spans="1:4" x14ac:dyDescent="0.3">
      <c r="A5" t="s">
        <v>1092</v>
      </c>
      <c r="B5" s="64" t="s">
        <v>722</v>
      </c>
      <c r="C5" s="2" t="s">
        <v>723</v>
      </c>
      <c r="D5" t="s">
        <v>724</v>
      </c>
    </row>
    <row r="6" spans="1:4" x14ac:dyDescent="0.3">
      <c r="A6" t="s">
        <v>1091</v>
      </c>
      <c r="B6" s="64" t="s">
        <v>8</v>
      </c>
      <c r="C6" s="2" t="s">
        <v>725</v>
      </c>
      <c r="D6" t="s">
        <v>726</v>
      </c>
    </row>
    <row r="7" spans="1:4" x14ac:dyDescent="0.3">
      <c r="A7" t="s">
        <v>728</v>
      </c>
      <c r="B7" t="s">
        <v>728</v>
      </c>
      <c r="C7" s="2" t="s">
        <v>729</v>
      </c>
      <c r="D7" t="s">
        <v>730</v>
      </c>
    </row>
    <row r="8" spans="1:4" x14ac:dyDescent="0.3">
      <c r="A8" t="s">
        <v>1</v>
      </c>
      <c r="B8" t="s">
        <v>741</v>
      </c>
      <c r="C8" s="2" t="s">
        <v>725</v>
      </c>
      <c r="D8" t="s">
        <v>727</v>
      </c>
    </row>
    <row r="9" spans="1:4" x14ac:dyDescent="0.3">
      <c r="A9" t="s">
        <v>1094</v>
      </c>
      <c r="B9" t="s">
        <v>250</v>
      </c>
      <c r="C9" s="2" t="s">
        <v>734</v>
      </c>
      <c r="D9" t="s">
        <v>740</v>
      </c>
    </row>
    <row r="10" spans="1:4" x14ac:dyDescent="0.3">
      <c r="A10" t="s">
        <v>817</v>
      </c>
      <c r="B10" t="s">
        <v>1098</v>
      </c>
      <c r="C10" s="2" t="s">
        <v>737</v>
      </c>
      <c r="D10" t="s">
        <v>738</v>
      </c>
    </row>
    <row r="11" spans="1:4" x14ac:dyDescent="0.3">
      <c r="A11" t="s">
        <v>2</v>
      </c>
      <c r="B11" s="64" t="s">
        <v>2</v>
      </c>
      <c r="C11" s="2" t="s">
        <v>720</v>
      </c>
      <c r="D11" t="s">
        <v>721</v>
      </c>
    </row>
    <row r="12" spans="1:4" x14ac:dyDescent="0.3">
      <c r="A12" t="s">
        <v>1093</v>
      </c>
      <c r="B12" s="64" t="s">
        <v>10</v>
      </c>
      <c r="C12" s="2" t="s">
        <v>736</v>
      </c>
      <c r="D12" t="s">
        <v>10</v>
      </c>
    </row>
    <row r="13" spans="1:4" x14ac:dyDescent="0.3">
      <c r="A13" t="s">
        <v>1094</v>
      </c>
      <c r="B13" t="s">
        <v>817</v>
      </c>
      <c r="D13" t="s">
        <v>1099</v>
      </c>
    </row>
    <row r="14" spans="1:4" x14ac:dyDescent="0.3">
      <c r="A14" t="s">
        <v>1095</v>
      </c>
      <c r="B14" t="s">
        <v>817</v>
      </c>
      <c r="D14" t="s">
        <v>1096</v>
      </c>
    </row>
    <row r="15" spans="1:4" x14ac:dyDescent="0.3">
      <c r="A15" t="s">
        <v>543</v>
      </c>
      <c r="B15" t="s">
        <v>817</v>
      </c>
      <c r="D15" t="s">
        <v>1097</v>
      </c>
    </row>
    <row r="17" spans="1:4" x14ac:dyDescent="0.3">
      <c r="A17" t="s">
        <v>1100</v>
      </c>
      <c r="B17" t="s">
        <v>1101</v>
      </c>
    </row>
    <row r="18" spans="1:4" x14ac:dyDescent="0.3">
      <c r="A18" t="s">
        <v>1102</v>
      </c>
    </row>
    <row r="20" spans="1:4" ht="17.399999999999999" x14ac:dyDescent="0.3">
      <c r="D20" s="75"/>
    </row>
    <row r="21" spans="1:4" x14ac:dyDescent="0.3">
      <c r="D21" s="76"/>
    </row>
    <row r="22" spans="1:4" x14ac:dyDescent="0.3">
      <c r="D22" s="76"/>
    </row>
    <row r="23" spans="1:4" x14ac:dyDescent="0.3">
      <c r="D23" s="76"/>
    </row>
    <row r="24" spans="1:4" x14ac:dyDescent="0.3">
      <c r="D24" s="76"/>
    </row>
    <row r="26" spans="1:4" ht="17.399999999999999" x14ac:dyDescent="0.3">
      <c r="D26" s="75"/>
    </row>
    <row r="27" spans="1:4" x14ac:dyDescent="0.3">
      <c r="D27" s="76"/>
    </row>
    <row r="28" spans="1:4" x14ac:dyDescent="0.3">
      <c r="D28" s="76"/>
    </row>
    <row r="29" spans="1:4" x14ac:dyDescent="0.3">
      <c r="D29" s="76"/>
    </row>
    <row r="30" spans="1:4" x14ac:dyDescent="0.3">
      <c r="D30" s="76"/>
    </row>
    <row r="32" spans="1:4" ht="17.399999999999999" x14ac:dyDescent="0.3">
      <c r="D32" s="75"/>
    </row>
    <row r="33" spans="4:4" x14ac:dyDescent="0.3">
      <c r="D33" s="76"/>
    </row>
    <row r="34" spans="4:4" x14ac:dyDescent="0.3">
      <c r="D34" s="76"/>
    </row>
    <row r="36" spans="4:4" ht="17.399999999999999" x14ac:dyDescent="0.3">
      <c r="D36" s="75"/>
    </row>
    <row r="37" spans="4:4" x14ac:dyDescent="0.3">
      <c r="D37" s="76"/>
    </row>
    <row r="38" spans="4:4" x14ac:dyDescent="0.3">
      <c r="D38" s="76"/>
    </row>
    <row r="40" spans="4:4" ht="17.399999999999999" x14ac:dyDescent="0.3">
      <c r="D40" s="75"/>
    </row>
    <row r="41" spans="4:4" x14ac:dyDescent="0.3">
      <c r="D41" s="76"/>
    </row>
    <row r="42" spans="4:4" x14ac:dyDescent="0.3">
      <c r="D42" s="76"/>
    </row>
    <row r="44" spans="4:4" ht="17.399999999999999" x14ac:dyDescent="0.3">
      <c r="D44" s="75"/>
    </row>
    <row r="45" spans="4:4" x14ac:dyDescent="0.3">
      <c r="D45" s="76"/>
    </row>
    <row r="46" spans="4:4" x14ac:dyDescent="0.3">
      <c r="D46" s="76"/>
    </row>
    <row r="48" spans="4:4" ht="17.399999999999999" x14ac:dyDescent="0.3">
      <c r="D48" s="75"/>
    </row>
    <row r="49" spans="4:4" x14ac:dyDescent="0.3">
      <c r="D49" s="76"/>
    </row>
    <row r="50" spans="4:4" x14ac:dyDescent="0.3">
      <c r="D50" s="76"/>
    </row>
  </sheetData>
  <sortState xmlns:xlrd2="http://schemas.microsoft.com/office/spreadsheetml/2017/richdata2" ref="A2:D12">
    <sortCondition ref="B2:B12"/>
  </sortState>
  <hyperlinks>
    <hyperlink ref="A1" r:id="rId1" xr:uid="{73B8056A-5F56-4E52-A007-564030366F0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C0336-692E-462F-ACB8-5BF9DF30501F}">
  <sheetPr codeName="Sheet3"/>
  <dimension ref="A1:F108"/>
  <sheetViews>
    <sheetView workbookViewId="0">
      <pane xSplit="1" ySplit="1" topLeftCell="B2" activePane="bottomRight" state="frozen"/>
      <selection pane="topRight" activeCell="B1" sqref="B1"/>
      <selection pane="bottomLeft" activeCell="A2" sqref="A2"/>
      <selection pane="bottomRight" activeCell="K22" sqref="K22"/>
    </sheetView>
  </sheetViews>
  <sheetFormatPr defaultRowHeight="14.4" x14ac:dyDescent="0.3"/>
  <cols>
    <col min="1" max="1" width="32.21875" bestFit="1" customWidth="1"/>
    <col min="2" max="2" width="39.33203125" bestFit="1" customWidth="1"/>
    <col min="3" max="3" width="21.6640625" bestFit="1" customWidth="1"/>
    <col min="4" max="4" width="1.6640625" style="61" customWidth="1"/>
    <col min="5" max="5" width="29.77734375" bestFit="1" customWidth="1"/>
    <col min="6" max="6" width="20.5546875" bestFit="1" customWidth="1"/>
    <col min="7" max="7" width="9.44140625" bestFit="1" customWidth="1"/>
  </cols>
  <sheetData>
    <row r="1" spans="1:6" x14ac:dyDescent="0.3">
      <c r="A1" t="s">
        <v>553</v>
      </c>
      <c r="B1" t="s">
        <v>554</v>
      </c>
      <c r="C1" t="s">
        <v>555</v>
      </c>
      <c r="E1" t="s">
        <v>426</v>
      </c>
      <c r="F1" t="s">
        <v>425</v>
      </c>
    </row>
    <row r="2" spans="1:6" x14ac:dyDescent="0.3">
      <c r="A2" t="s">
        <v>567</v>
      </c>
      <c r="B2" t="s">
        <v>568</v>
      </c>
      <c r="C2" t="s">
        <v>1</v>
      </c>
      <c r="E2" t="s">
        <v>933</v>
      </c>
      <c r="F2" t="s">
        <v>6</v>
      </c>
    </row>
    <row r="3" spans="1:6" x14ac:dyDescent="0.3">
      <c r="A3" t="s">
        <v>562</v>
      </c>
      <c r="B3" t="s">
        <v>222</v>
      </c>
      <c r="C3" t="s">
        <v>1</v>
      </c>
      <c r="E3" t="s">
        <v>933</v>
      </c>
      <c r="F3" t="s">
        <v>222</v>
      </c>
    </row>
    <row r="4" spans="1:6" x14ac:dyDescent="0.3">
      <c r="A4" t="s">
        <v>27</v>
      </c>
      <c r="B4" t="s">
        <v>168</v>
      </c>
      <c r="C4" t="s">
        <v>1</v>
      </c>
      <c r="E4" t="s">
        <v>933</v>
      </c>
      <c r="F4" t="s">
        <v>191</v>
      </c>
    </row>
    <row r="5" spans="1:6" x14ac:dyDescent="0.3">
      <c r="A5" t="s">
        <v>567</v>
      </c>
      <c r="B5" t="s">
        <v>571</v>
      </c>
      <c r="C5" t="s">
        <v>544</v>
      </c>
      <c r="E5" t="s">
        <v>933</v>
      </c>
      <c r="F5" t="s">
        <v>223</v>
      </c>
    </row>
    <row r="6" spans="1:6" x14ac:dyDescent="0.3">
      <c r="A6" t="s">
        <v>562</v>
      </c>
      <c r="B6" t="s">
        <v>256</v>
      </c>
      <c r="C6" t="s">
        <v>23</v>
      </c>
      <c r="E6" t="s">
        <v>933</v>
      </c>
      <c r="F6" t="s">
        <v>1</v>
      </c>
    </row>
    <row r="7" spans="1:6" x14ac:dyDescent="0.3">
      <c r="A7" t="s">
        <v>28</v>
      </c>
      <c r="B7" t="s">
        <v>28</v>
      </c>
      <c r="C7" t="s">
        <v>23</v>
      </c>
      <c r="E7" t="s">
        <v>934</v>
      </c>
      <c r="F7" t="s">
        <v>3</v>
      </c>
    </row>
    <row r="8" spans="1:6" x14ac:dyDescent="0.3">
      <c r="A8" t="s">
        <v>27</v>
      </c>
      <c r="B8" t="s">
        <v>272</v>
      </c>
      <c r="C8" t="s">
        <v>292</v>
      </c>
      <c r="E8" t="s">
        <v>934</v>
      </c>
      <c r="F8" t="s">
        <v>8</v>
      </c>
    </row>
    <row r="9" spans="1:6" x14ac:dyDescent="0.3">
      <c r="A9" t="s">
        <v>556</v>
      </c>
      <c r="B9" t="s">
        <v>556</v>
      </c>
      <c r="C9" t="s">
        <v>59</v>
      </c>
      <c r="E9" t="s">
        <v>934</v>
      </c>
      <c r="F9" t="s">
        <v>5</v>
      </c>
    </row>
    <row r="10" spans="1:6" x14ac:dyDescent="0.3">
      <c r="A10" t="s">
        <v>562</v>
      </c>
      <c r="B10" t="s">
        <v>256</v>
      </c>
      <c r="C10" t="s">
        <v>5</v>
      </c>
      <c r="E10" t="s">
        <v>934</v>
      </c>
      <c r="F10" t="s">
        <v>7</v>
      </c>
    </row>
    <row r="11" spans="1:6" x14ac:dyDescent="0.3">
      <c r="A11" t="s">
        <v>27</v>
      </c>
      <c r="B11" t="s">
        <v>272</v>
      </c>
      <c r="C11" t="s">
        <v>288</v>
      </c>
      <c r="E11" t="s">
        <v>934</v>
      </c>
      <c r="F11" t="s">
        <v>17</v>
      </c>
    </row>
    <row r="12" spans="1:6" x14ac:dyDescent="0.3">
      <c r="A12" t="s">
        <v>564</v>
      </c>
      <c r="B12" t="s">
        <v>565</v>
      </c>
      <c r="C12" t="s">
        <v>118</v>
      </c>
      <c r="E12" t="s">
        <v>934</v>
      </c>
      <c r="F12" t="s">
        <v>2</v>
      </c>
    </row>
    <row r="13" spans="1:6" x14ac:dyDescent="0.3">
      <c r="A13" t="s">
        <v>564</v>
      </c>
      <c r="B13" t="s">
        <v>565</v>
      </c>
      <c r="C13" t="s">
        <v>100</v>
      </c>
      <c r="E13" t="s">
        <v>934</v>
      </c>
      <c r="F13" t="s">
        <v>440</v>
      </c>
    </row>
    <row r="14" spans="1:6" x14ac:dyDescent="0.3">
      <c r="A14" t="s">
        <v>27</v>
      </c>
      <c r="B14" t="s">
        <v>242</v>
      </c>
      <c r="C14" t="s">
        <v>100</v>
      </c>
      <c r="E14" t="s">
        <v>935</v>
      </c>
      <c r="F14" t="s">
        <v>10</v>
      </c>
    </row>
    <row r="15" spans="1:6" x14ac:dyDescent="0.3">
      <c r="A15" t="s">
        <v>562</v>
      </c>
      <c r="B15" t="s">
        <v>256</v>
      </c>
      <c r="C15" t="s">
        <v>13</v>
      </c>
      <c r="E15" t="s">
        <v>935</v>
      </c>
      <c r="F15" t="s">
        <v>19</v>
      </c>
    </row>
    <row r="16" spans="1:6" x14ac:dyDescent="0.3">
      <c r="A16" t="s">
        <v>28</v>
      </c>
      <c r="B16" t="s">
        <v>28</v>
      </c>
      <c r="C16" t="s">
        <v>13</v>
      </c>
      <c r="E16" t="s">
        <v>935</v>
      </c>
      <c r="F16" t="s">
        <v>100</v>
      </c>
    </row>
    <row r="17" spans="1:6" x14ac:dyDescent="0.3">
      <c r="A17" t="s">
        <v>27</v>
      </c>
      <c r="B17" t="s">
        <v>563</v>
      </c>
      <c r="C17" t="s">
        <v>13</v>
      </c>
      <c r="E17" t="s">
        <v>935</v>
      </c>
      <c r="F17" t="s">
        <v>233</v>
      </c>
    </row>
    <row r="18" spans="1:6" x14ac:dyDescent="0.3">
      <c r="A18" t="s">
        <v>558</v>
      </c>
      <c r="B18" t="s">
        <v>558</v>
      </c>
      <c r="C18" t="s">
        <v>191</v>
      </c>
      <c r="E18" t="s">
        <v>935</v>
      </c>
      <c r="F18" t="s">
        <v>141</v>
      </c>
    </row>
    <row r="19" spans="1:6" x14ac:dyDescent="0.3">
      <c r="A19" t="s">
        <v>567</v>
      </c>
      <c r="B19" t="s">
        <v>571</v>
      </c>
      <c r="C19" t="s">
        <v>541</v>
      </c>
      <c r="E19" t="s">
        <v>935</v>
      </c>
      <c r="F19" t="s">
        <v>250</v>
      </c>
    </row>
    <row r="20" spans="1:6" x14ac:dyDescent="0.3">
      <c r="A20" t="s">
        <v>560</v>
      </c>
      <c r="B20" t="s">
        <v>547</v>
      </c>
      <c r="C20" t="s">
        <v>295</v>
      </c>
      <c r="E20" t="s">
        <v>935</v>
      </c>
      <c r="F20" t="s">
        <v>283</v>
      </c>
    </row>
    <row r="21" spans="1:6" x14ac:dyDescent="0.3">
      <c r="A21" t="s">
        <v>28</v>
      </c>
      <c r="B21" t="s">
        <v>28</v>
      </c>
      <c r="C21" t="s">
        <v>177</v>
      </c>
      <c r="E21" t="s">
        <v>936</v>
      </c>
      <c r="F21" t="s">
        <v>221</v>
      </c>
    </row>
    <row r="22" spans="1:6" x14ac:dyDescent="0.3">
      <c r="A22" t="s">
        <v>28</v>
      </c>
      <c r="B22" t="s">
        <v>28</v>
      </c>
      <c r="C22" t="s">
        <v>136</v>
      </c>
      <c r="E22" t="s">
        <v>936</v>
      </c>
      <c r="F22" t="s">
        <v>541</v>
      </c>
    </row>
    <row r="23" spans="1:6" x14ac:dyDescent="0.3">
      <c r="A23" t="s">
        <v>556</v>
      </c>
      <c r="B23" t="s">
        <v>556</v>
      </c>
      <c r="C23" t="s">
        <v>557</v>
      </c>
      <c r="E23" t="s">
        <v>936</v>
      </c>
      <c r="F23" t="s">
        <v>571</v>
      </c>
    </row>
    <row r="24" spans="1:6" x14ac:dyDescent="0.3">
      <c r="A24" t="s">
        <v>559</v>
      </c>
      <c r="B24" t="s">
        <v>559</v>
      </c>
      <c r="C24" t="s">
        <v>266</v>
      </c>
      <c r="E24" t="s">
        <v>936</v>
      </c>
      <c r="F24" t="s">
        <v>544</v>
      </c>
    </row>
    <row r="25" spans="1:6" x14ac:dyDescent="0.3">
      <c r="A25" t="s">
        <v>27</v>
      </c>
      <c r="B25" t="s">
        <v>168</v>
      </c>
      <c r="C25" t="s">
        <v>233</v>
      </c>
      <c r="E25" t="s">
        <v>937</v>
      </c>
      <c r="F25" t="s">
        <v>18</v>
      </c>
    </row>
    <row r="26" spans="1:6" x14ac:dyDescent="0.3">
      <c r="A26" t="s">
        <v>560</v>
      </c>
      <c r="B26" t="s">
        <v>547</v>
      </c>
      <c r="C26" t="s">
        <v>561</v>
      </c>
      <c r="E26" t="s">
        <v>937</v>
      </c>
      <c r="F26" t="s">
        <v>150</v>
      </c>
    </row>
    <row r="27" spans="1:6" x14ac:dyDescent="0.3">
      <c r="A27" t="s">
        <v>560</v>
      </c>
      <c r="B27" t="s">
        <v>547</v>
      </c>
      <c r="C27" t="s">
        <v>299</v>
      </c>
      <c r="E27" t="s">
        <v>937</v>
      </c>
      <c r="F27" t="s">
        <v>189</v>
      </c>
    </row>
    <row r="28" spans="1:6" x14ac:dyDescent="0.3">
      <c r="A28" t="s">
        <v>564</v>
      </c>
      <c r="B28" t="s">
        <v>550</v>
      </c>
      <c r="C28" t="s">
        <v>243</v>
      </c>
      <c r="E28" t="s">
        <v>937</v>
      </c>
      <c r="F28" t="s">
        <v>13</v>
      </c>
    </row>
    <row r="29" spans="1:6" x14ac:dyDescent="0.3">
      <c r="A29" t="s">
        <v>562</v>
      </c>
      <c r="B29" t="s">
        <v>256</v>
      </c>
      <c r="C29" t="s">
        <v>15</v>
      </c>
      <c r="E29" t="s">
        <v>937</v>
      </c>
      <c r="F29" t="s">
        <v>177</v>
      </c>
    </row>
    <row r="30" spans="1:6" x14ac:dyDescent="0.3">
      <c r="A30" t="s">
        <v>28</v>
      </c>
      <c r="B30" t="s">
        <v>28</v>
      </c>
      <c r="C30" t="s">
        <v>15</v>
      </c>
      <c r="E30" t="s">
        <v>937</v>
      </c>
      <c r="F30" t="s">
        <v>15</v>
      </c>
    </row>
    <row r="31" spans="1:6" x14ac:dyDescent="0.3">
      <c r="A31" t="s">
        <v>558</v>
      </c>
      <c r="B31" t="s">
        <v>558</v>
      </c>
      <c r="C31" t="s">
        <v>202</v>
      </c>
      <c r="E31" t="s">
        <v>938</v>
      </c>
      <c r="F31" t="s">
        <v>4</v>
      </c>
    </row>
    <row r="32" spans="1:6" x14ac:dyDescent="0.3">
      <c r="A32" t="s">
        <v>27</v>
      </c>
      <c r="B32" t="s">
        <v>563</v>
      </c>
      <c r="C32" t="s">
        <v>155</v>
      </c>
      <c r="E32" t="s">
        <v>938</v>
      </c>
      <c r="F32" t="s">
        <v>262</v>
      </c>
    </row>
    <row r="33" spans="1:6" x14ac:dyDescent="0.3">
      <c r="A33" t="s">
        <v>27</v>
      </c>
      <c r="B33" t="s">
        <v>168</v>
      </c>
      <c r="C33" t="s">
        <v>16</v>
      </c>
      <c r="E33" t="s">
        <v>938</v>
      </c>
      <c r="F33" t="s">
        <v>273</v>
      </c>
    </row>
    <row r="34" spans="1:6" x14ac:dyDescent="0.3">
      <c r="A34" t="s">
        <v>558</v>
      </c>
      <c r="B34" t="s">
        <v>558</v>
      </c>
      <c r="C34" t="s">
        <v>221</v>
      </c>
      <c r="E34" t="s">
        <v>938</v>
      </c>
      <c r="F34" t="s">
        <v>268</v>
      </c>
    </row>
    <row r="35" spans="1:6" x14ac:dyDescent="0.3">
      <c r="A35" t="s">
        <v>559</v>
      </c>
      <c r="B35" t="s">
        <v>559</v>
      </c>
      <c r="C35" t="s">
        <v>240</v>
      </c>
    </row>
    <row r="36" spans="1:6" x14ac:dyDescent="0.3">
      <c r="A36" t="s">
        <v>567</v>
      </c>
      <c r="B36" t="s">
        <v>568</v>
      </c>
      <c r="C36" t="s">
        <v>3</v>
      </c>
    </row>
    <row r="37" spans="1:6" x14ac:dyDescent="0.3">
      <c r="A37" t="s">
        <v>564</v>
      </c>
      <c r="B37" t="s">
        <v>565</v>
      </c>
      <c r="C37" t="s">
        <v>81</v>
      </c>
    </row>
    <row r="38" spans="1:6" x14ac:dyDescent="0.3">
      <c r="A38" t="s">
        <v>567</v>
      </c>
      <c r="B38" t="s">
        <v>571</v>
      </c>
      <c r="C38" t="s">
        <v>224</v>
      </c>
    </row>
    <row r="39" spans="1:6" x14ac:dyDescent="0.3">
      <c r="A39" t="s">
        <v>564</v>
      </c>
      <c r="B39" t="s">
        <v>550</v>
      </c>
      <c r="C39" t="s">
        <v>224</v>
      </c>
    </row>
    <row r="40" spans="1:6" x14ac:dyDescent="0.3">
      <c r="A40" t="s">
        <v>567</v>
      </c>
      <c r="B40" t="s">
        <v>571</v>
      </c>
      <c r="C40" t="s">
        <v>542</v>
      </c>
    </row>
    <row r="41" spans="1:6" x14ac:dyDescent="0.3">
      <c r="A41" t="s">
        <v>558</v>
      </c>
      <c r="B41" t="s">
        <v>558</v>
      </c>
      <c r="C41" t="s">
        <v>212</v>
      </c>
    </row>
    <row r="42" spans="1:6" x14ac:dyDescent="0.3">
      <c r="A42" t="s">
        <v>562</v>
      </c>
      <c r="B42" t="s">
        <v>4</v>
      </c>
      <c r="C42" t="s">
        <v>273</v>
      </c>
    </row>
    <row r="43" spans="1:6" x14ac:dyDescent="0.3">
      <c r="A43" t="s">
        <v>28</v>
      </c>
      <c r="B43" t="s">
        <v>28</v>
      </c>
      <c r="C43" t="s">
        <v>111</v>
      </c>
    </row>
    <row r="44" spans="1:6" x14ac:dyDescent="0.3">
      <c r="A44" t="s">
        <v>562</v>
      </c>
      <c r="B44" t="s">
        <v>47</v>
      </c>
      <c r="C44" t="s">
        <v>440</v>
      </c>
    </row>
    <row r="45" spans="1:6" x14ac:dyDescent="0.3">
      <c r="A45" t="s">
        <v>564</v>
      </c>
      <c r="B45" t="s">
        <v>142</v>
      </c>
      <c r="C45" t="s">
        <v>156</v>
      </c>
    </row>
    <row r="46" spans="1:6" x14ac:dyDescent="0.3">
      <c r="A46" t="s">
        <v>27</v>
      </c>
      <c r="B46" t="s">
        <v>563</v>
      </c>
      <c r="C46" t="s">
        <v>141</v>
      </c>
    </row>
    <row r="47" spans="1:6" x14ac:dyDescent="0.3">
      <c r="A47" t="s">
        <v>562</v>
      </c>
      <c r="B47" t="s">
        <v>47</v>
      </c>
      <c r="C47" t="s">
        <v>20</v>
      </c>
    </row>
    <row r="48" spans="1:6" x14ac:dyDescent="0.3">
      <c r="A48" t="s">
        <v>27</v>
      </c>
      <c r="B48" t="s">
        <v>272</v>
      </c>
      <c r="C48" t="s">
        <v>283</v>
      </c>
    </row>
    <row r="49" spans="1:3" x14ac:dyDescent="0.3">
      <c r="A49" t="s">
        <v>564</v>
      </c>
      <c r="B49" t="s">
        <v>142</v>
      </c>
      <c r="C49" t="s">
        <v>182</v>
      </c>
    </row>
    <row r="50" spans="1:3" x14ac:dyDescent="0.3">
      <c r="A50" t="s">
        <v>556</v>
      </c>
      <c r="B50" t="s">
        <v>556</v>
      </c>
      <c r="C50" t="s">
        <v>115</v>
      </c>
    </row>
    <row r="51" spans="1:3" x14ac:dyDescent="0.3">
      <c r="A51" t="s">
        <v>564</v>
      </c>
      <c r="B51" t="s">
        <v>565</v>
      </c>
      <c r="C51" t="s">
        <v>129</v>
      </c>
    </row>
    <row r="52" spans="1:3" x14ac:dyDescent="0.3">
      <c r="A52" t="s">
        <v>564</v>
      </c>
      <c r="B52" t="s">
        <v>550</v>
      </c>
      <c r="C52" t="s">
        <v>24</v>
      </c>
    </row>
    <row r="53" spans="1:3" x14ac:dyDescent="0.3">
      <c r="A53" t="s">
        <v>27</v>
      </c>
      <c r="B53" t="s">
        <v>272</v>
      </c>
      <c r="C53" t="s">
        <v>24</v>
      </c>
    </row>
    <row r="54" spans="1:3" x14ac:dyDescent="0.3">
      <c r="A54" t="s">
        <v>567</v>
      </c>
      <c r="B54" t="s">
        <v>570</v>
      </c>
      <c r="C54" t="s">
        <v>17</v>
      </c>
    </row>
    <row r="55" spans="1:3" x14ac:dyDescent="0.3">
      <c r="A55" t="s">
        <v>562</v>
      </c>
      <c r="B55" t="s">
        <v>256</v>
      </c>
      <c r="C55" t="s">
        <v>17</v>
      </c>
    </row>
    <row r="56" spans="1:3" x14ac:dyDescent="0.3">
      <c r="A56" t="s">
        <v>28</v>
      </c>
      <c r="B56" t="s">
        <v>28</v>
      </c>
      <c r="C56" t="s">
        <v>17</v>
      </c>
    </row>
    <row r="57" spans="1:3" x14ac:dyDescent="0.3">
      <c r="A57" t="s">
        <v>562</v>
      </c>
      <c r="B57" t="s">
        <v>47</v>
      </c>
      <c r="C57" t="s">
        <v>7</v>
      </c>
    </row>
    <row r="58" spans="1:3" x14ac:dyDescent="0.3">
      <c r="A58" t="s">
        <v>27</v>
      </c>
      <c r="B58" t="s">
        <v>168</v>
      </c>
      <c r="C58" t="s">
        <v>7</v>
      </c>
    </row>
    <row r="59" spans="1:3" x14ac:dyDescent="0.3">
      <c r="A59" t="s">
        <v>558</v>
      </c>
      <c r="B59" t="s">
        <v>558</v>
      </c>
      <c r="C59" t="s">
        <v>153</v>
      </c>
    </row>
    <row r="60" spans="1:3" x14ac:dyDescent="0.3">
      <c r="A60" t="s">
        <v>564</v>
      </c>
      <c r="B60" t="s">
        <v>142</v>
      </c>
      <c r="C60" t="s">
        <v>192</v>
      </c>
    </row>
    <row r="61" spans="1:3" x14ac:dyDescent="0.3">
      <c r="A61" t="s">
        <v>567</v>
      </c>
      <c r="B61" t="s">
        <v>570</v>
      </c>
      <c r="C61" t="s">
        <v>209</v>
      </c>
    </row>
    <row r="62" spans="1:3" x14ac:dyDescent="0.3">
      <c r="A62" t="s">
        <v>559</v>
      </c>
      <c r="B62" t="s">
        <v>559</v>
      </c>
      <c r="C62" t="s">
        <v>248</v>
      </c>
    </row>
    <row r="63" spans="1:3" x14ac:dyDescent="0.3">
      <c r="A63" t="s">
        <v>562</v>
      </c>
      <c r="B63" t="s">
        <v>256</v>
      </c>
      <c r="C63" t="s">
        <v>8</v>
      </c>
    </row>
    <row r="64" spans="1:3" x14ac:dyDescent="0.3">
      <c r="A64" t="s">
        <v>567</v>
      </c>
      <c r="B64" t="s">
        <v>568</v>
      </c>
      <c r="C64" t="s">
        <v>569</v>
      </c>
    </row>
    <row r="65" spans="1:3" x14ac:dyDescent="0.3">
      <c r="A65" t="s">
        <v>567</v>
      </c>
      <c r="B65" t="s">
        <v>570</v>
      </c>
      <c r="C65" t="s">
        <v>219</v>
      </c>
    </row>
    <row r="66" spans="1:3" x14ac:dyDescent="0.3">
      <c r="A66" t="s">
        <v>27</v>
      </c>
      <c r="B66" t="s">
        <v>563</v>
      </c>
      <c r="C66" t="s">
        <v>128</v>
      </c>
    </row>
    <row r="67" spans="1:3" x14ac:dyDescent="0.3">
      <c r="A67" t="s">
        <v>559</v>
      </c>
      <c r="B67" t="s">
        <v>559</v>
      </c>
      <c r="C67" t="s">
        <v>261</v>
      </c>
    </row>
    <row r="68" spans="1:3" x14ac:dyDescent="0.3">
      <c r="A68" t="s">
        <v>560</v>
      </c>
      <c r="B68" t="s">
        <v>546</v>
      </c>
      <c r="C68" t="s">
        <v>285</v>
      </c>
    </row>
    <row r="69" spans="1:3" x14ac:dyDescent="0.3">
      <c r="A69" t="s">
        <v>28</v>
      </c>
      <c r="B69" t="s">
        <v>28</v>
      </c>
      <c r="C69" t="s">
        <v>189</v>
      </c>
    </row>
    <row r="70" spans="1:3" x14ac:dyDescent="0.3">
      <c r="A70" t="s">
        <v>567</v>
      </c>
      <c r="B70" t="s">
        <v>571</v>
      </c>
      <c r="C70" t="s">
        <v>543</v>
      </c>
    </row>
    <row r="71" spans="1:3" x14ac:dyDescent="0.3">
      <c r="A71" t="s">
        <v>28</v>
      </c>
      <c r="B71" t="s">
        <v>28</v>
      </c>
      <c r="C71" t="s">
        <v>150</v>
      </c>
    </row>
    <row r="72" spans="1:3" x14ac:dyDescent="0.3">
      <c r="A72" t="s">
        <v>27</v>
      </c>
      <c r="B72" t="s">
        <v>272</v>
      </c>
      <c r="C72" t="s">
        <v>9</v>
      </c>
    </row>
    <row r="73" spans="1:3" x14ac:dyDescent="0.3">
      <c r="A73" t="s">
        <v>560</v>
      </c>
      <c r="B73" t="s">
        <v>547</v>
      </c>
      <c r="C73" t="s">
        <v>303</v>
      </c>
    </row>
    <row r="74" spans="1:3" x14ac:dyDescent="0.3">
      <c r="A74" t="s">
        <v>556</v>
      </c>
      <c r="B74" t="s">
        <v>556</v>
      </c>
      <c r="C74" t="s">
        <v>98</v>
      </c>
    </row>
    <row r="75" spans="1:3" x14ac:dyDescent="0.3">
      <c r="A75" t="s">
        <v>560</v>
      </c>
      <c r="B75" t="s">
        <v>546</v>
      </c>
      <c r="C75" t="s">
        <v>289</v>
      </c>
    </row>
    <row r="76" spans="1:3" x14ac:dyDescent="0.3">
      <c r="A76" t="s">
        <v>27</v>
      </c>
      <c r="B76" t="s">
        <v>242</v>
      </c>
      <c r="C76" t="s">
        <v>26</v>
      </c>
    </row>
    <row r="77" spans="1:3" x14ac:dyDescent="0.3">
      <c r="A77" t="s">
        <v>27</v>
      </c>
      <c r="B77" t="s">
        <v>563</v>
      </c>
      <c r="C77" t="s">
        <v>117</v>
      </c>
    </row>
    <row r="78" spans="1:3" x14ac:dyDescent="0.3">
      <c r="A78" t="s">
        <v>567</v>
      </c>
      <c r="B78" t="s">
        <v>570</v>
      </c>
      <c r="C78" t="s">
        <v>18</v>
      </c>
    </row>
    <row r="79" spans="1:3" x14ac:dyDescent="0.3">
      <c r="A79" t="s">
        <v>562</v>
      </c>
      <c r="B79" t="s">
        <v>47</v>
      </c>
      <c r="C79" t="s">
        <v>19</v>
      </c>
    </row>
    <row r="80" spans="1:3" x14ac:dyDescent="0.3">
      <c r="A80" t="s">
        <v>27</v>
      </c>
      <c r="B80" t="s">
        <v>563</v>
      </c>
      <c r="C80" t="s">
        <v>19</v>
      </c>
    </row>
    <row r="81" spans="1:3" x14ac:dyDescent="0.3">
      <c r="A81" t="s">
        <v>564</v>
      </c>
      <c r="B81" t="s">
        <v>565</v>
      </c>
      <c r="C81" t="s">
        <v>60</v>
      </c>
    </row>
    <row r="82" spans="1:3" x14ac:dyDescent="0.3">
      <c r="A82" t="s">
        <v>564</v>
      </c>
      <c r="B82" t="s">
        <v>251</v>
      </c>
      <c r="C82" t="s">
        <v>262</v>
      </c>
    </row>
    <row r="83" spans="1:3" x14ac:dyDescent="0.3">
      <c r="A83" t="s">
        <v>560</v>
      </c>
      <c r="B83" t="s">
        <v>545</v>
      </c>
      <c r="C83" t="s">
        <v>280</v>
      </c>
    </row>
    <row r="84" spans="1:3" x14ac:dyDescent="0.3">
      <c r="A84" t="s">
        <v>562</v>
      </c>
      <c r="B84" t="s">
        <v>222</v>
      </c>
      <c r="C84" t="s">
        <v>6</v>
      </c>
    </row>
    <row r="85" spans="1:3" x14ac:dyDescent="0.3">
      <c r="A85" t="s">
        <v>28</v>
      </c>
      <c r="B85" t="s">
        <v>28</v>
      </c>
      <c r="C85" t="s">
        <v>6</v>
      </c>
    </row>
    <row r="86" spans="1:3" x14ac:dyDescent="0.3">
      <c r="A86" t="s">
        <v>560</v>
      </c>
      <c r="B86" t="s">
        <v>545</v>
      </c>
      <c r="C86" t="s">
        <v>277</v>
      </c>
    </row>
    <row r="87" spans="1:3" x14ac:dyDescent="0.3">
      <c r="A87" t="s">
        <v>27</v>
      </c>
      <c r="B87" t="s">
        <v>168</v>
      </c>
      <c r="C87" t="s">
        <v>223</v>
      </c>
    </row>
    <row r="88" spans="1:3" x14ac:dyDescent="0.3">
      <c r="A88" t="s">
        <v>558</v>
      </c>
      <c r="B88" t="s">
        <v>558</v>
      </c>
      <c r="C88" t="s">
        <v>167</v>
      </c>
    </row>
    <row r="89" spans="1:3" x14ac:dyDescent="0.3">
      <c r="A89" t="s">
        <v>567</v>
      </c>
      <c r="B89" t="s">
        <v>570</v>
      </c>
      <c r="C89" t="s">
        <v>239</v>
      </c>
    </row>
    <row r="90" spans="1:3" x14ac:dyDescent="0.3">
      <c r="A90" t="s">
        <v>27</v>
      </c>
      <c r="B90" t="s">
        <v>242</v>
      </c>
      <c r="C90" t="s">
        <v>267</v>
      </c>
    </row>
    <row r="91" spans="1:3" x14ac:dyDescent="0.3">
      <c r="A91" t="s">
        <v>564</v>
      </c>
      <c r="B91" t="s">
        <v>251</v>
      </c>
      <c r="C91" t="s">
        <v>268</v>
      </c>
    </row>
    <row r="92" spans="1:3" x14ac:dyDescent="0.3">
      <c r="A92" t="s">
        <v>27</v>
      </c>
      <c r="B92" t="s">
        <v>242</v>
      </c>
      <c r="C92" t="s">
        <v>250</v>
      </c>
    </row>
    <row r="93" spans="1:3" x14ac:dyDescent="0.3">
      <c r="A93" t="s">
        <v>564</v>
      </c>
      <c r="B93" t="s">
        <v>142</v>
      </c>
      <c r="C93" t="s">
        <v>566</v>
      </c>
    </row>
    <row r="94" spans="1:3" x14ac:dyDescent="0.3">
      <c r="A94" t="s">
        <v>558</v>
      </c>
      <c r="B94" t="s">
        <v>558</v>
      </c>
      <c r="C94" t="s">
        <v>180</v>
      </c>
    </row>
    <row r="95" spans="1:3" x14ac:dyDescent="0.3">
      <c r="A95" t="s">
        <v>562</v>
      </c>
      <c r="B95" t="s">
        <v>4</v>
      </c>
      <c r="C95" t="s">
        <v>4</v>
      </c>
    </row>
    <row r="96" spans="1:3" x14ac:dyDescent="0.3">
      <c r="A96" t="s">
        <v>564</v>
      </c>
      <c r="B96" t="s">
        <v>251</v>
      </c>
      <c r="C96" t="s">
        <v>4</v>
      </c>
    </row>
    <row r="97" spans="1:3" x14ac:dyDescent="0.3">
      <c r="A97" t="s">
        <v>27</v>
      </c>
      <c r="B97" t="s">
        <v>272</v>
      </c>
      <c r="C97" t="s">
        <v>4</v>
      </c>
    </row>
    <row r="98" spans="1:3" x14ac:dyDescent="0.3">
      <c r="A98" t="s">
        <v>567</v>
      </c>
      <c r="B98" t="s">
        <v>568</v>
      </c>
      <c r="C98" t="s">
        <v>2</v>
      </c>
    </row>
    <row r="99" spans="1:3" x14ac:dyDescent="0.3">
      <c r="A99" t="s">
        <v>567</v>
      </c>
      <c r="B99" t="s">
        <v>571</v>
      </c>
      <c r="C99" t="s">
        <v>2</v>
      </c>
    </row>
    <row r="100" spans="1:3" x14ac:dyDescent="0.3">
      <c r="A100" t="s">
        <v>562</v>
      </c>
      <c r="B100" t="s">
        <v>249</v>
      </c>
      <c r="C100" t="s">
        <v>2</v>
      </c>
    </row>
    <row r="101" spans="1:3" x14ac:dyDescent="0.3">
      <c r="A101" t="s">
        <v>27</v>
      </c>
      <c r="B101" t="s">
        <v>168</v>
      </c>
      <c r="C101" t="s">
        <v>2</v>
      </c>
    </row>
    <row r="102" spans="1:3" x14ac:dyDescent="0.3">
      <c r="A102" t="s">
        <v>567</v>
      </c>
      <c r="B102" t="s">
        <v>568</v>
      </c>
      <c r="C102" t="s">
        <v>10</v>
      </c>
    </row>
    <row r="103" spans="1:3" x14ac:dyDescent="0.3">
      <c r="A103" t="s">
        <v>562</v>
      </c>
      <c r="B103" t="s">
        <v>249</v>
      </c>
      <c r="C103" t="s">
        <v>10</v>
      </c>
    </row>
    <row r="104" spans="1:3" x14ac:dyDescent="0.3">
      <c r="A104" t="s">
        <v>27</v>
      </c>
      <c r="B104" t="s">
        <v>563</v>
      </c>
      <c r="C104" t="s">
        <v>10</v>
      </c>
    </row>
    <row r="105" spans="1:3" x14ac:dyDescent="0.3">
      <c r="A105" t="s">
        <v>556</v>
      </c>
      <c r="B105" t="s">
        <v>556</v>
      </c>
      <c r="C105" t="s">
        <v>555</v>
      </c>
    </row>
    <row r="106" spans="1:3" x14ac:dyDescent="0.3">
      <c r="A106" t="s">
        <v>559</v>
      </c>
      <c r="B106" t="s">
        <v>559</v>
      </c>
      <c r="C106" t="s">
        <v>256</v>
      </c>
    </row>
    <row r="107" spans="1:3" x14ac:dyDescent="0.3">
      <c r="A107" t="s">
        <v>564</v>
      </c>
      <c r="B107" t="s">
        <v>550</v>
      </c>
      <c r="C107" t="s">
        <v>213</v>
      </c>
    </row>
    <row r="108" spans="1:3" x14ac:dyDescent="0.3">
      <c r="A108" t="s">
        <v>564</v>
      </c>
      <c r="B108" t="s">
        <v>251</v>
      </c>
    </row>
  </sheetData>
  <autoFilter ref="A1:C108" xr:uid="{E74C0336-692E-462F-ACB8-5BF9DF30501F}">
    <sortState xmlns:xlrd2="http://schemas.microsoft.com/office/spreadsheetml/2017/richdata2" ref="A2:C108">
      <sortCondition ref="C1:C108"/>
    </sortState>
  </autoFilter>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FCD4A-3F20-425A-AD09-6E4CEBEC0EE8}">
  <sheetPr codeName="Sheet4"/>
  <dimension ref="A1:DJ299"/>
  <sheetViews>
    <sheetView tabSelected="1" topLeftCell="I1" workbookViewId="0">
      <selection activeCell="O3" sqref="O3:O4"/>
    </sheetView>
  </sheetViews>
  <sheetFormatPr defaultRowHeight="55.05" customHeight="1" outlineLevelRow="1" x14ac:dyDescent="0.3"/>
  <cols>
    <col min="1" max="1" width="11.5546875" style="39" customWidth="1"/>
    <col min="2" max="2" width="25.44140625" style="8" customWidth="1"/>
    <col min="3" max="3" width="27.77734375" style="8" customWidth="1"/>
    <col min="4" max="4" width="11.33203125" style="39" customWidth="1"/>
    <col min="5" max="5" width="8.77734375" style="73" customWidth="1"/>
    <col min="6" max="6" width="65.109375" style="10" hidden="1" customWidth="1"/>
    <col min="7" max="7" width="18.88671875" style="45" customWidth="1"/>
    <col min="8" max="8" width="43.5546875" style="8" customWidth="1"/>
    <col min="9" max="9" width="34.5546875" style="8" customWidth="1"/>
    <col min="10" max="10" width="8.88671875" style="10"/>
    <col min="11" max="11" width="12.77734375" style="10" bestFit="1" customWidth="1"/>
    <col min="12" max="12" width="15.77734375" style="10" bestFit="1" customWidth="1"/>
    <col min="13" max="13" width="12.6640625" style="10" bestFit="1" customWidth="1"/>
    <col min="14" max="14" width="14.33203125" style="10" bestFit="1" customWidth="1"/>
    <col min="15" max="15" width="13.33203125" style="10" bestFit="1" customWidth="1"/>
    <col min="16" max="16" width="3.44140625" style="84" customWidth="1"/>
    <col min="17" max="19" width="8.88671875" style="10"/>
    <col min="20" max="20" width="10.88671875" style="10" customWidth="1"/>
    <col min="21" max="36" width="8.88671875" style="10"/>
    <col min="37" max="37" width="3.21875" style="10" customWidth="1"/>
    <col min="38" max="41" width="8.88671875" style="10"/>
    <col min="42" max="42" width="10.77734375" style="10" customWidth="1"/>
    <col min="43" max="43" width="13.5546875" style="10" customWidth="1"/>
    <col min="44" max="44" width="13" style="10" customWidth="1"/>
    <col min="45" max="45" width="8.109375" style="10" customWidth="1"/>
    <col min="46" max="46" width="11.44140625" style="10" customWidth="1"/>
    <col min="47" max="48" width="3.21875" style="10" customWidth="1"/>
    <col min="49" max="49" width="8.88671875" style="10"/>
    <col min="50" max="50" width="9.77734375" style="10" customWidth="1"/>
    <col min="51" max="66" width="8.88671875" style="10"/>
    <col min="67" max="67" width="11.109375" style="10" customWidth="1"/>
    <col min="68" max="70" width="8.88671875" style="10"/>
    <col min="71" max="71" width="11" style="10" customWidth="1"/>
    <col min="72" max="77" width="8.88671875" style="10"/>
    <col min="78" max="78" width="13.21875" style="10" customWidth="1"/>
    <col min="79" max="79" width="8.88671875" style="10"/>
    <col min="80" max="80" width="13.109375" style="10" customWidth="1"/>
    <col min="81" max="81" width="12.109375" style="10" customWidth="1"/>
    <col min="82" max="85" width="8.88671875" style="10"/>
    <col min="86" max="86" width="14.6640625" style="10" customWidth="1"/>
    <col min="87" max="100" width="8.88671875" style="10"/>
    <col min="101" max="101" width="11.109375" style="10" customWidth="1"/>
    <col min="102" max="102" width="8.88671875" style="10"/>
    <col min="103" max="103" width="10.5546875" style="10" customWidth="1"/>
    <col min="104" max="16384" width="8.88671875" style="10"/>
  </cols>
  <sheetData>
    <row r="1" spans="1:114" ht="55.05" customHeight="1" x14ac:dyDescent="0.3">
      <c r="A1" s="40" t="s">
        <v>848</v>
      </c>
      <c r="B1" s="40" t="s">
        <v>752</v>
      </c>
      <c r="C1" s="40" t="s">
        <v>753</v>
      </c>
      <c r="D1" s="40" t="s">
        <v>754</v>
      </c>
      <c r="E1" s="72" t="s">
        <v>855</v>
      </c>
      <c r="F1" s="40" t="s">
        <v>614</v>
      </c>
      <c r="G1" s="40" t="s">
        <v>612</v>
      </c>
      <c r="H1" s="40" t="s">
        <v>555</v>
      </c>
      <c r="I1" s="40" t="s">
        <v>613</v>
      </c>
      <c r="J1" s="40" t="s">
        <v>1307</v>
      </c>
      <c r="K1" s="40" t="s">
        <v>1308</v>
      </c>
      <c r="L1" s="40" t="s">
        <v>1309</v>
      </c>
      <c r="M1" s="40" t="s">
        <v>1310</v>
      </c>
      <c r="N1" s="40" t="s">
        <v>1311</v>
      </c>
      <c r="O1" s="40" t="s">
        <v>1312</v>
      </c>
      <c r="P1" s="45"/>
      <c r="Q1" s="39">
        <v>2006</v>
      </c>
      <c r="R1" s="39">
        <v>2007</v>
      </c>
      <c r="S1" s="39">
        <v>2008</v>
      </c>
      <c r="T1" s="39">
        <v>2009</v>
      </c>
      <c r="U1" s="39">
        <v>2010</v>
      </c>
      <c r="V1" s="39">
        <v>2011</v>
      </c>
      <c r="W1" s="39">
        <v>2012</v>
      </c>
      <c r="X1" s="39">
        <v>2013</v>
      </c>
      <c r="Y1" s="39">
        <v>2014</v>
      </c>
      <c r="Z1" s="39">
        <v>2015</v>
      </c>
      <c r="AA1" s="39">
        <v>2016</v>
      </c>
      <c r="AB1" s="39">
        <v>2017</v>
      </c>
      <c r="AC1" s="39">
        <v>2018</v>
      </c>
      <c r="AD1" s="39">
        <v>2019</v>
      </c>
      <c r="AE1" s="39">
        <v>2020</v>
      </c>
      <c r="AF1" s="39">
        <v>2021</v>
      </c>
      <c r="AG1" s="39">
        <v>2022</v>
      </c>
      <c r="AH1" s="39">
        <v>2023</v>
      </c>
      <c r="AI1" s="39">
        <v>2024</v>
      </c>
      <c r="AJ1" s="39">
        <v>2025</v>
      </c>
      <c r="AK1" s="86"/>
      <c r="AL1" s="39" t="s">
        <v>827</v>
      </c>
      <c r="AM1" s="39" t="s">
        <v>748</v>
      </c>
      <c r="AN1" s="39" t="s">
        <v>1051</v>
      </c>
      <c r="AO1" s="39" t="s">
        <v>749</v>
      </c>
      <c r="AP1" s="99" t="s">
        <v>1410</v>
      </c>
      <c r="AQ1" s="99" t="s">
        <v>427</v>
      </c>
      <c r="AR1" s="99" t="s">
        <v>1159</v>
      </c>
      <c r="AS1" s="99" t="s">
        <v>976</v>
      </c>
      <c r="AT1" s="99" t="s">
        <v>1813</v>
      </c>
      <c r="AU1" s="86"/>
      <c r="AV1" s="86"/>
      <c r="AW1" s="39" t="str" cm="1">
        <f t="array" ref="AW1:CN1">TRANSPOSE(_xlfn._xlws.SORT(_xlfn.UNIQUE(_xlfn._xlws.FILTER($D$3:$D$294, $D$3:$D$294&lt;&gt;""))))</f>
        <v>Africa</v>
      </c>
      <c r="AX1" s="39" t="str">
        <v>Argentina</v>
      </c>
      <c r="AY1" s="39" t="str">
        <v>Australia</v>
      </c>
      <c r="AZ1" s="39" t="str">
        <v>Belgium</v>
      </c>
      <c r="BA1" s="39" t="str">
        <v>Brazil</v>
      </c>
      <c r="BB1" s="39" t="str">
        <v>Canada</v>
      </c>
      <c r="BC1" s="39" t="str">
        <v>Chile</v>
      </c>
      <c r="BD1" s="39" t="str">
        <v>China</v>
      </c>
      <c r="BE1" s="39" t="str">
        <v>Council of Europe</v>
      </c>
      <c r="BF1" s="39" t="str">
        <v>Denmark</v>
      </c>
      <c r="BG1" s="39" t="str">
        <v>EU</v>
      </c>
      <c r="BH1" s="39" t="str">
        <v>Finland</v>
      </c>
      <c r="BI1" s="39" t="str">
        <v>France</v>
      </c>
      <c r="BJ1" s="39" t="str">
        <v>Germany</v>
      </c>
      <c r="BK1" s="39" t="str">
        <v>Iceland</v>
      </c>
      <c r="BL1" s="39" t="str">
        <v>India</v>
      </c>
      <c r="BM1" s="39" t="str">
        <v>Indonesia</v>
      </c>
      <c r="BN1" s="39" t="str">
        <v>International</v>
      </c>
      <c r="BO1" s="39" t="str">
        <v>Israel</v>
      </c>
      <c r="BP1" s="39" t="str">
        <v>Italy</v>
      </c>
      <c r="BQ1" s="39" t="str">
        <v>Japan</v>
      </c>
      <c r="BR1" s="39" t="str">
        <v>Mexico</v>
      </c>
      <c r="BS1" s="39" t="str">
        <v>Netherlands</v>
      </c>
      <c r="BT1" s="39" t="str">
        <v>New Zeland</v>
      </c>
      <c r="BU1" s="39" t="str">
        <v>Norway</v>
      </c>
      <c r="BV1" s="39" t="str">
        <v>Pakistan</v>
      </c>
      <c r="BW1" s="39" t="str">
        <v>Portugal</v>
      </c>
      <c r="BX1" s="39" t="str">
        <v>Qatar</v>
      </c>
      <c r="BY1" s="39" t="str">
        <v>Russia</v>
      </c>
      <c r="BZ1" s="39" t="str">
        <v>Russian Federation</v>
      </c>
      <c r="CA1" s="39" t="str">
        <v>Saudi Arabia</v>
      </c>
      <c r="CB1" s="39" t="str">
        <v>Scotland</v>
      </c>
      <c r="CC1" s="39" t="str">
        <v>Singapore</v>
      </c>
      <c r="CD1" s="39" t="str">
        <v>South Africa (Pan-African Scope)</v>
      </c>
      <c r="CE1" s="39" t="str">
        <v>South Korea</v>
      </c>
      <c r="CF1" s="39" t="str">
        <v>Spain</v>
      </c>
      <c r="CG1" s="39" t="str">
        <v>Sweden</v>
      </c>
      <c r="CH1" s="39" t="str">
        <v>Switzerland</v>
      </c>
      <c r="CI1" s="39" t="str">
        <v>Taiwan</v>
      </c>
      <c r="CJ1" s="39" t="str">
        <v>Turkey</v>
      </c>
      <c r="CK1" s="39" t="str">
        <v>UAE</v>
      </c>
      <c r="CL1" s="39" t="str">
        <v>UK</v>
      </c>
      <c r="CM1" s="39" t="str">
        <v>Ukraine</v>
      </c>
      <c r="CN1" s="39" t="str">
        <v>USA</v>
      </c>
      <c r="CO1" s="97"/>
      <c r="CP1" s="39" t="s">
        <v>1801</v>
      </c>
      <c r="CQ1" s="10" t="s">
        <v>651</v>
      </c>
      <c r="CR1" s="10" t="s">
        <v>661</v>
      </c>
      <c r="CS1" s="10" t="s">
        <v>667</v>
      </c>
      <c r="CT1" s="10" t="s">
        <v>676</v>
      </c>
      <c r="CU1" s="10" t="s">
        <v>621</v>
      </c>
      <c r="CV1" s="10" t="s">
        <v>701</v>
      </c>
      <c r="CW1" s="10" t="s">
        <v>760</v>
      </c>
    </row>
    <row r="2" spans="1:114" s="67" customFormat="1" ht="55.05" customHeight="1" outlineLevel="1" x14ac:dyDescent="0.3">
      <c r="A2" s="39" t="s">
        <v>827</v>
      </c>
      <c r="B2" s="8" t="s">
        <v>706</v>
      </c>
      <c r="C2" s="8" t="s">
        <v>1275</v>
      </c>
      <c r="D2" s="39" t="s">
        <v>701</v>
      </c>
      <c r="E2" s="73">
        <v>2018</v>
      </c>
      <c r="F2" s="10" t="s">
        <v>862</v>
      </c>
      <c r="G2" s="45" t="s">
        <v>427</v>
      </c>
      <c r="H2" s="8" t="s">
        <v>1347</v>
      </c>
      <c r="I2" s="90" t="s">
        <v>1588</v>
      </c>
      <c r="J2" s="10"/>
      <c r="K2" s="10"/>
      <c r="L2" s="10"/>
      <c r="M2" s="10"/>
      <c r="N2" s="10"/>
      <c r="O2" s="10"/>
      <c r="P2" s="45"/>
      <c r="Q2" s="45">
        <f>COUNTIF($E$2:$E$292, Q1)</f>
        <v>0</v>
      </c>
      <c r="R2" s="45">
        <f t="shared" ref="R2:AH2" si="0">COUNTIF($E$2:$E$292, R1)</f>
        <v>1</v>
      </c>
      <c r="S2" s="45">
        <f t="shared" si="0"/>
        <v>0</v>
      </c>
      <c r="T2" s="45">
        <f t="shared" si="0"/>
        <v>0</v>
      </c>
      <c r="U2" s="45">
        <f t="shared" si="0"/>
        <v>0</v>
      </c>
      <c r="V2" s="45">
        <f t="shared" si="0"/>
        <v>2</v>
      </c>
      <c r="W2" s="45">
        <f t="shared" si="0"/>
        <v>0</v>
      </c>
      <c r="X2" s="45">
        <f t="shared" si="0"/>
        <v>0</v>
      </c>
      <c r="Y2" s="45">
        <f t="shared" si="0"/>
        <v>3</v>
      </c>
      <c r="Z2" s="45">
        <f t="shared" si="0"/>
        <v>1</v>
      </c>
      <c r="AA2" s="45">
        <f t="shared" si="0"/>
        <v>11</v>
      </c>
      <c r="AB2" s="45">
        <f t="shared" si="0"/>
        <v>34</v>
      </c>
      <c r="AC2" s="45">
        <f t="shared" si="0"/>
        <v>68</v>
      </c>
      <c r="AD2" s="45">
        <f t="shared" si="0"/>
        <v>37</v>
      </c>
      <c r="AE2" s="45">
        <f t="shared" si="0"/>
        <v>15</v>
      </c>
      <c r="AF2" s="45">
        <f t="shared" si="0"/>
        <v>27</v>
      </c>
      <c r="AG2" s="45">
        <f t="shared" si="0"/>
        <v>6</v>
      </c>
      <c r="AH2" s="45">
        <f t="shared" si="0"/>
        <v>22</v>
      </c>
      <c r="AI2" s="45">
        <f>COUNTIF($E$2:$E$292, AI1)</f>
        <v>35</v>
      </c>
      <c r="AJ2" s="45">
        <f t="shared" ref="AJ2" si="1">COUNTIF($E$2:$E$292, AJ1)</f>
        <v>29</v>
      </c>
      <c r="AK2" s="10"/>
      <c r="AL2" s="45">
        <f>COUNTIF($A$2:$A$293, "Floridi")</f>
        <v>8</v>
      </c>
      <c r="AM2" s="45">
        <f>COUNTIF($A$2:$A$293, "Jobin")</f>
        <v>81</v>
      </c>
      <c r="AN2" s="45">
        <f>COUNTIF($A$2:$A$293, "Harvard")</f>
        <v>34</v>
      </c>
      <c r="AO2" s="45">
        <f>COUNTIF($A$2:$A$293, "Hinrichs")</f>
        <v>168</v>
      </c>
      <c r="AP2" s="45">
        <f>COUNTIF($G$2:$G$293, "Education and Research")</f>
        <v>36</v>
      </c>
      <c r="AQ2" s="45">
        <f>COUNTIF($G$2:$G$293, "Government")</f>
        <v>114</v>
      </c>
      <c r="AR2" s="45">
        <f>COUNTIF($G$2:$G$293, "Industry")</f>
        <v>38</v>
      </c>
      <c r="AS2" s="45">
        <f>COUNTIF($G$2:$G$293, "NGO")</f>
        <v>19</v>
      </c>
      <c r="AT2" s="45">
        <f>COUNTIF($G$2:$G$293, "Religious Organization")</f>
        <v>4</v>
      </c>
      <c r="AU2" s="10"/>
      <c r="AV2" s="10"/>
      <c r="AW2" s="39" t="str">
        <f>TRIM(_xlfn.CONCAT(IF(COUNTIF($CQ$1:$CW$1,AW1)&gt;0,"G7 ","")&amp;IF(COUNTIF($CQ$2:$DA$2,AW1)&gt;0,"G10 ","")&amp;IF(COUNTIF($CQ$3:$DJ$3,AW1)&gt;0,"G20 ","")))</f>
        <v/>
      </c>
      <c r="AX2" s="39" t="str">
        <f t="shared" ref="AX2:BJ2" si="2">TRIM(_xlfn.CONCAT(IF(COUNTIF($CQ$1:$CW$1,AX1)&gt;0,"G7 ","")&amp;IF(COUNTIF($CQ$2:$DA$2,AX1)&gt;0,"G10 ","")&amp;IF(COUNTIF($CQ$3:$DJ$3,AX1)&gt;0,"G20 ","")))</f>
        <v>G20</v>
      </c>
      <c r="AY2" s="39" t="str">
        <f t="shared" si="2"/>
        <v>G20</v>
      </c>
      <c r="AZ2" s="39" t="str">
        <f t="shared" si="2"/>
        <v>G10</v>
      </c>
      <c r="BA2" s="39" t="str">
        <f t="shared" si="2"/>
        <v>G20</v>
      </c>
      <c r="BB2" s="39" t="str">
        <f t="shared" si="2"/>
        <v>G7 G10 G20</v>
      </c>
      <c r="BC2" s="39" t="str">
        <f t="shared" si="2"/>
        <v/>
      </c>
      <c r="BD2" s="39" t="str">
        <f t="shared" si="2"/>
        <v>G20</v>
      </c>
      <c r="BE2" s="39" t="str">
        <f t="shared" si="2"/>
        <v/>
      </c>
      <c r="BF2" s="39" t="str">
        <f t="shared" si="2"/>
        <v/>
      </c>
      <c r="BG2" s="39" t="str">
        <f t="shared" si="2"/>
        <v>G20</v>
      </c>
      <c r="BH2" s="39" t="str">
        <f t="shared" si="2"/>
        <v/>
      </c>
      <c r="BI2" s="39" t="str">
        <f t="shared" si="2"/>
        <v>G7 G10 G20</v>
      </c>
      <c r="BJ2" s="39" t="str">
        <f t="shared" si="2"/>
        <v>G7 G10 G20</v>
      </c>
      <c r="BK2" s="39" t="str">
        <f>TRIM(_xlfn.CONCAT(IF(COUNTIF($CQ$1:$CW$1,BK1)&gt;0,"G7 ","")&amp;IF(COUNTIF($CQ$2:$DA$2,BK1)&gt;0,"G10 ","")&amp;IF(COUNTIF($CQ$3:$DJ$3,BK1)&gt;0,"G20 ","")))</f>
        <v/>
      </c>
      <c r="BL2" s="39" t="str">
        <f t="shared" ref="BL2" si="3">TRIM(_xlfn.CONCAT(IF(COUNTIF($CQ$1:$CW$1,BL1)&gt;0,"G7 ","")&amp;IF(COUNTIF($CQ$2:$DA$2,BL1)&gt;0,"G10 ","")&amp;IF(COUNTIF($CQ$3:$DJ$3,BL1)&gt;0,"G20 ","")))</f>
        <v>G20</v>
      </c>
      <c r="BM2" s="39" t="str">
        <f t="shared" ref="BM2" si="4">TRIM(_xlfn.CONCAT(IF(COUNTIF($CQ$1:$CW$1,BM1)&gt;0,"G7 ","")&amp;IF(COUNTIF($CQ$2:$DA$2,BM1)&gt;0,"G10 ","")&amp;IF(COUNTIF($CQ$3:$DJ$3,BM1)&gt;0,"G20 ","")))</f>
        <v>G20</v>
      </c>
      <c r="BN2" s="39" t="str">
        <f t="shared" ref="BN2" si="5">TRIM(_xlfn.CONCAT(IF(COUNTIF($CQ$1:$CW$1,BN1)&gt;0,"G7 ","")&amp;IF(COUNTIF($CQ$2:$DA$2,BN1)&gt;0,"G10 ","")&amp;IF(COUNTIF($CQ$3:$DJ$3,BN1)&gt;0,"G20 ","")))</f>
        <v/>
      </c>
      <c r="BO2" s="39" t="str">
        <f t="shared" ref="BO2" si="6">TRIM(_xlfn.CONCAT(IF(COUNTIF($CQ$1:$CW$1,BO1)&gt;0,"G7 ","")&amp;IF(COUNTIF($CQ$2:$DA$2,BO1)&gt;0,"G10 ","")&amp;IF(COUNTIF($CQ$3:$DJ$3,BO1)&gt;0,"G20 ","")))</f>
        <v/>
      </c>
      <c r="BP2" s="39" t="str">
        <f t="shared" ref="BP2" si="7">TRIM(_xlfn.CONCAT(IF(COUNTIF($CQ$1:$CW$1,BP1)&gt;0,"G7 ","")&amp;IF(COUNTIF($CQ$2:$DA$2,BP1)&gt;0,"G10 ","")&amp;IF(COUNTIF($CQ$3:$DJ$3,BP1)&gt;0,"G20 ","")))</f>
        <v>G7 G10 G20</v>
      </c>
      <c r="BQ2" s="39" t="str">
        <f t="shared" ref="BQ2" si="8">TRIM(_xlfn.CONCAT(IF(COUNTIF($CQ$1:$CW$1,BQ1)&gt;0,"G7 ","")&amp;IF(COUNTIF($CQ$2:$DA$2,BQ1)&gt;0,"G10 ","")&amp;IF(COUNTIF($CQ$3:$DJ$3,BQ1)&gt;0,"G20 ","")))</f>
        <v>G7 G10 G20</v>
      </c>
      <c r="BR2" s="39" t="str">
        <f t="shared" ref="BR2" si="9">TRIM(_xlfn.CONCAT(IF(COUNTIF($CQ$1:$CW$1,BR1)&gt;0,"G7 ","")&amp;IF(COUNTIF($CQ$2:$DA$2,BR1)&gt;0,"G10 ","")&amp;IF(COUNTIF($CQ$3:$DJ$3,BR1)&gt;0,"G20 ","")))</f>
        <v>G20</v>
      </c>
      <c r="BS2" s="39" t="str">
        <f t="shared" ref="BS2" si="10">TRIM(_xlfn.CONCAT(IF(COUNTIF($CQ$1:$CW$1,BS1)&gt;0,"G7 ","")&amp;IF(COUNTIF($CQ$2:$DA$2,BS1)&gt;0,"G10 ","")&amp;IF(COUNTIF($CQ$3:$DJ$3,BS1)&gt;0,"G20 ","")))</f>
        <v>G10</v>
      </c>
      <c r="BT2" s="39" t="str">
        <f t="shared" ref="BT2" si="11">TRIM(_xlfn.CONCAT(IF(COUNTIF($CQ$1:$CW$1,BT1)&gt;0,"G7 ","")&amp;IF(COUNTIF($CQ$2:$DA$2,BT1)&gt;0,"G10 ","")&amp;IF(COUNTIF($CQ$3:$DJ$3,BT1)&gt;0,"G20 ","")))</f>
        <v/>
      </c>
      <c r="BU2" s="39" t="str">
        <f t="shared" ref="BU2" si="12">TRIM(_xlfn.CONCAT(IF(COUNTIF($CQ$1:$CW$1,BU1)&gt;0,"G7 ","")&amp;IF(COUNTIF($CQ$2:$DA$2,BU1)&gt;0,"G10 ","")&amp;IF(COUNTIF($CQ$3:$DJ$3,BU1)&gt;0,"G20 ","")))</f>
        <v/>
      </c>
      <c r="BV2" s="39" t="str">
        <f t="shared" ref="BV2" si="13">TRIM(_xlfn.CONCAT(IF(COUNTIF($CQ$1:$CW$1,BV1)&gt;0,"G7 ","")&amp;IF(COUNTIF($CQ$2:$DA$2,BV1)&gt;0,"G10 ","")&amp;IF(COUNTIF($CQ$3:$DJ$3,BV1)&gt;0,"G20 ","")))</f>
        <v/>
      </c>
      <c r="BW2" s="39" t="str">
        <f t="shared" ref="BW2" si="14">TRIM(_xlfn.CONCAT(IF(COUNTIF($CQ$1:$CW$1,BW1)&gt;0,"G7 ","")&amp;IF(COUNTIF($CQ$2:$DA$2,BW1)&gt;0,"G10 ","")&amp;IF(COUNTIF($CQ$3:$DJ$3,BW1)&gt;0,"G20 ","")))</f>
        <v/>
      </c>
      <c r="BX2" s="39" t="str">
        <f t="shared" ref="BX2" si="15">TRIM(_xlfn.CONCAT(IF(COUNTIF($CQ$1:$CW$1,BX1)&gt;0,"G7 ","")&amp;IF(COUNTIF($CQ$2:$DA$2,BX1)&gt;0,"G10 ","")&amp;IF(COUNTIF($CQ$3:$DJ$3,BX1)&gt;0,"G20 ","")))</f>
        <v/>
      </c>
      <c r="BY2" s="39" t="str">
        <f>TRIM(_xlfn.CONCAT(IF(COUNTIF($CQ$1:$CW$1,BY1)&gt;0,"G7 ","")&amp;IF(COUNTIF($CQ$2:$DA$2,BY1)&gt;0,"G10 ","")&amp;IF(COUNTIF($CQ$3:$DJ$3,BY1)&gt;0,"G20 ","")))</f>
        <v>G20</v>
      </c>
      <c r="BZ2" s="39" t="str">
        <f t="shared" ref="BZ2" si="16">TRIM(_xlfn.CONCAT(IF(COUNTIF($CQ$1:$CW$1,BZ1)&gt;0,"G7 ","")&amp;IF(COUNTIF($CQ$2:$DA$2,BZ1)&gt;0,"G10 ","")&amp;IF(COUNTIF($CQ$3:$DJ$3,BZ1)&gt;0,"G20 ","")))</f>
        <v/>
      </c>
      <c r="CA2" s="39" t="str">
        <f t="shared" ref="CA2" si="17">TRIM(_xlfn.CONCAT(IF(COUNTIF($CQ$1:$CW$1,CA1)&gt;0,"G7 ","")&amp;IF(COUNTIF($CQ$2:$DA$2,CA1)&gt;0,"G10 ","")&amp;IF(COUNTIF($CQ$3:$DJ$3,CA1)&gt;0,"G20 ","")))</f>
        <v>G20</v>
      </c>
      <c r="CB2" s="39" t="str">
        <f t="shared" ref="CB2" si="18">TRIM(_xlfn.CONCAT(IF(COUNTIF($CQ$1:$CW$1,CB1)&gt;0,"G7 ","")&amp;IF(COUNTIF($CQ$2:$DA$2,CB1)&gt;0,"G10 ","")&amp;IF(COUNTIF($CQ$3:$DJ$3,CB1)&gt;0,"G20 ","")))</f>
        <v/>
      </c>
      <c r="CC2" s="39" t="str">
        <f t="shared" ref="CC2" si="19">TRIM(_xlfn.CONCAT(IF(COUNTIF($CQ$1:$CW$1,CC1)&gt;0,"G7 ","")&amp;IF(COUNTIF($CQ$2:$DA$2,CC1)&gt;0,"G10 ","")&amp;IF(COUNTIF($CQ$3:$DJ$3,CC1)&gt;0,"G20 ","")))</f>
        <v/>
      </c>
      <c r="CD2" s="39" t="str">
        <f t="shared" ref="CD2" si="20">TRIM(_xlfn.CONCAT(IF(COUNTIF($CQ$1:$CW$1,CD1)&gt;0,"G7 ","")&amp;IF(COUNTIF($CQ$2:$DA$2,CD1)&gt;0,"G10 ","")&amp;IF(COUNTIF($CQ$3:$DJ$3,CD1)&gt;0,"G20 ","")))</f>
        <v/>
      </c>
      <c r="CE2" s="39" t="str">
        <f t="shared" ref="CE2" si="21">TRIM(_xlfn.CONCAT(IF(COUNTIF($CQ$1:$CW$1,CE1)&gt;0,"G7 ","")&amp;IF(COUNTIF($CQ$2:$DA$2,CE1)&gt;0,"G10 ","")&amp;IF(COUNTIF($CQ$3:$DJ$3,CE1)&gt;0,"G20 ","")))</f>
        <v>G20</v>
      </c>
      <c r="CF2" s="39" t="str">
        <f t="shared" ref="CF2" si="22">TRIM(_xlfn.CONCAT(IF(COUNTIF($CQ$1:$CW$1,CF1)&gt;0,"G7 ","")&amp;IF(COUNTIF($CQ$2:$DA$2,CF1)&gt;0,"G10 ","")&amp;IF(COUNTIF($CQ$3:$DJ$3,CF1)&gt;0,"G20 ","")))</f>
        <v/>
      </c>
      <c r="CG2" s="39" t="str">
        <f t="shared" ref="CG2" si="23">TRIM(_xlfn.CONCAT(IF(COUNTIF($CQ$1:$CW$1,CG1)&gt;0,"G7 ","")&amp;IF(COUNTIF($CQ$2:$DA$2,CG1)&gt;0,"G10 ","")&amp;IF(COUNTIF($CQ$3:$DJ$3,CG1)&gt;0,"G20 ","")))</f>
        <v>G10</v>
      </c>
      <c r="CH2" s="39" t="str">
        <f t="shared" ref="CH2" si="24">TRIM(_xlfn.CONCAT(IF(COUNTIF($CQ$1:$CW$1,CH1)&gt;0,"G7 ","")&amp;IF(COUNTIF($CQ$2:$DA$2,CH1)&gt;0,"G10 ","")&amp;IF(COUNTIF($CQ$3:$DJ$3,CH1)&gt;0,"G20 ","")))</f>
        <v>G10</v>
      </c>
      <c r="CI2" s="39" t="str">
        <f t="shared" ref="CI2" si="25">TRIM(_xlfn.CONCAT(IF(COUNTIF($CQ$1:$CW$1,CI1)&gt;0,"G7 ","")&amp;IF(COUNTIF($CQ$2:$DA$2,CI1)&gt;0,"G10 ","")&amp;IF(COUNTIF($CQ$3:$DJ$3,CI1)&gt;0,"G20 ","")))</f>
        <v/>
      </c>
      <c r="CJ2" s="39" t="str">
        <f t="shared" ref="CJ2" si="26">TRIM(_xlfn.CONCAT(IF(COUNTIF($CQ$1:$CW$1,CJ1)&gt;0,"G7 ","")&amp;IF(COUNTIF($CQ$2:$DA$2,CJ1)&gt;0,"G10 ","")&amp;IF(COUNTIF($CQ$3:$DJ$3,CJ1)&gt;0,"G20 ","")))</f>
        <v>G20</v>
      </c>
      <c r="CK2" s="39" t="str">
        <f>TRIM(_xlfn.CONCAT(IF(COUNTIF($CQ$1:$CW$1,CK1)&gt;0,"G7 ","")&amp;IF(COUNTIF($CQ$2:$DA$2,CK1)&gt;0,"G10 ","")&amp;IF(COUNTIF($CQ$3:$DJ$3,CK1)&gt;0,"G20 ","")))</f>
        <v/>
      </c>
      <c r="CL2" s="39" t="str">
        <f t="shared" ref="CL2" si="27">TRIM(_xlfn.CONCAT(IF(COUNTIF($CQ$1:$CW$1,CL1)&gt;0,"G7 ","")&amp;IF(COUNTIF($CQ$2:$DA$2,CL1)&gt;0,"G10 ","")&amp;IF(COUNTIF($CQ$3:$DJ$3,CL1)&gt;0,"G20 ","")))</f>
        <v>G7 G10 G20</v>
      </c>
      <c r="CM2" s="39" t="str">
        <f t="shared" ref="CM2" si="28">TRIM(_xlfn.CONCAT(IF(COUNTIF($CQ$1:$CW$1,CM1)&gt;0,"G7 ","")&amp;IF(COUNTIF($CQ$2:$DA$2,CM1)&gt;0,"G10 ","")&amp;IF(COUNTIF($CQ$3:$DJ$3,CM1)&gt;0,"G20 ","")))</f>
        <v/>
      </c>
      <c r="CN2" s="39" t="str">
        <f t="shared" ref="CN2" si="29">TRIM(_xlfn.CONCAT(IF(COUNTIF($CQ$1:$CW$1,CN1)&gt;0,"G7 ","")&amp;IF(COUNTIF($CQ$2:$DA$2,CN1)&gt;0,"G10 ","")&amp;IF(COUNTIF($CQ$3:$DJ$3,CN1)&gt;0,"G20 ","")))</f>
        <v>G7 G10 G20</v>
      </c>
      <c r="CO2" s="97"/>
      <c r="CP2" s="40" t="s">
        <v>1802</v>
      </c>
      <c r="CQ2" s="10" t="s">
        <v>1052</v>
      </c>
      <c r="CR2" s="10" t="s">
        <v>651</v>
      </c>
      <c r="CS2" s="10" t="s">
        <v>661</v>
      </c>
      <c r="CT2" s="10" t="s">
        <v>667</v>
      </c>
      <c r="CU2" s="10" t="s">
        <v>676</v>
      </c>
      <c r="CV2" s="10" t="s">
        <v>621</v>
      </c>
      <c r="CW2" s="10" t="s">
        <v>685</v>
      </c>
      <c r="CX2" s="10" t="s">
        <v>1057</v>
      </c>
      <c r="CY2" s="10" t="s">
        <v>849</v>
      </c>
      <c r="CZ2" s="10" t="s">
        <v>701</v>
      </c>
      <c r="DA2" s="10" t="s">
        <v>760</v>
      </c>
    </row>
    <row r="3" spans="1:114" ht="55.05" customHeight="1" outlineLevel="1" x14ac:dyDescent="0.3">
      <c r="A3" s="39" t="s">
        <v>827</v>
      </c>
      <c r="B3" s="8" t="s">
        <v>1328</v>
      </c>
      <c r="C3" s="8" t="s">
        <v>852</v>
      </c>
      <c r="D3" s="39" t="s">
        <v>789</v>
      </c>
      <c r="E3" s="73">
        <v>2021</v>
      </c>
      <c r="F3" s="10" t="s">
        <v>883</v>
      </c>
      <c r="G3" s="45" t="s">
        <v>967</v>
      </c>
      <c r="H3" s="8" t="s">
        <v>1329</v>
      </c>
      <c r="I3" s="90" t="s">
        <v>1690</v>
      </c>
      <c r="J3" s="10" t="s">
        <v>1814</v>
      </c>
      <c r="K3" s="39" t="s">
        <v>1815</v>
      </c>
      <c r="L3" s="39" t="s">
        <v>1816</v>
      </c>
      <c r="M3" s="39" t="s">
        <v>1817</v>
      </c>
      <c r="N3" s="39" t="s">
        <v>1818</v>
      </c>
      <c r="O3" s="39"/>
      <c r="P3" s="45"/>
      <c r="BB3" s="9"/>
      <c r="CP3" s="39" t="s">
        <v>1803</v>
      </c>
      <c r="CQ3" s="10" t="s">
        <v>1053</v>
      </c>
      <c r="CR3" s="10" t="s">
        <v>649</v>
      </c>
      <c r="CS3" s="10" t="s">
        <v>851</v>
      </c>
      <c r="CT3" s="10" t="s">
        <v>651</v>
      </c>
      <c r="CU3" s="10" t="s">
        <v>622</v>
      </c>
      <c r="CV3" s="10" t="s">
        <v>661</v>
      </c>
      <c r="CW3" s="10" t="s">
        <v>667</v>
      </c>
      <c r="CX3" s="10" t="s">
        <v>674</v>
      </c>
      <c r="CY3" s="10" t="s">
        <v>1622</v>
      </c>
      <c r="CZ3" s="10" t="s">
        <v>676</v>
      </c>
      <c r="DA3" s="10" t="s">
        <v>621</v>
      </c>
      <c r="DB3" s="10" t="s">
        <v>1062</v>
      </c>
      <c r="DC3" s="10" t="s">
        <v>693</v>
      </c>
      <c r="DD3" s="10" t="s">
        <v>1637</v>
      </c>
      <c r="DE3" s="10" t="s">
        <v>1641</v>
      </c>
      <c r="DF3" s="10" t="s">
        <v>1804</v>
      </c>
      <c r="DG3" s="10" t="s">
        <v>1649</v>
      </c>
      <c r="DH3" s="10" t="s">
        <v>701</v>
      </c>
      <c r="DI3" s="10" t="s">
        <v>760</v>
      </c>
      <c r="DJ3" s="10" t="s">
        <v>789</v>
      </c>
    </row>
    <row r="4" spans="1:114" ht="55.05" customHeight="1" outlineLevel="1" x14ac:dyDescent="0.3">
      <c r="A4" s="39" t="s">
        <v>827</v>
      </c>
      <c r="B4" s="8" t="s">
        <v>608</v>
      </c>
      <c r="C4" s="8" t="s">
        <v>591</v>
      </c>
      <c r="D4" s="39" t="s">
        <v>760</v>
      </c>
      <c r="E4" s="73">
        <v>2017</v>
      </c>
      <c r="G4" s="45" t="s">
        <v>976</v>
      </c>
      <c r="H4" s="8" t="s">
        <v>1345</v>
      </c>
      <c r="I4" s="90" t="s">
        <v>608</v>
      </c>
      <c r="J4" s="100" t="s">
        <v>1819</v>
      </c>
      <c r="K4" s="39">
        <f>COUNTA(B2:B292)</f>
        <v>291</v>
      </c>
      <c r="L4" s="39">
        <f>SUM(Q2:AJ2)</f>
        <v>291</v>
      </c>
      <c r="M4" s="39">
        <f>SUM(AL2:AO2)</f>
        <v>291</v>
      </c>
      <c r="N4" s="39">
        <f>COUNTA(AW1:CN1)</f>
        <v>44</v>
      </c>
      <c r="O4" s="39"/>
      <c r="P4" s="45"/>
      <c r="AW4" s="17" t="s">
        <v>1805</v>
      </c>
    </row>
    <row r="5" spans="1:114" ht="55.05" customHeight="1" outlineLevel="1" x14ac:dyDescent="0.3">
      <c r="A5" s="39" t="s">
        <v>827</v>
      </c>
      <c r="B5" s="8" t="s">
        <v>1693</v>
      </c>
      <c r="C5" s="8" t="s">
        <v>1285</v>
      </c>
      <c r="D5" s="39" t="s">
        <v>436</v>
      </c>
      <c r="E5" s="73">
        <v>2017</v>
      </c>
      <c r="F5" s="10" t="s">
        <v>824</v>
      </c>
      <c r="G5" s="45" t="s">
        <v>1410</v>
      </c>
      <c r="H5" s="10" t="s">
        <v>1350</v>
      </c>
      <c r="I5" s="90" t="s">
        <v>1692</v>
      </c>
      <c r="P5" s="45"/>
      <c r="AW5" s="17" t="s">
        <v>1806</v>
      </c>
    </row>
    <row r="6" spans="1:114" ht="55.05" customHeight="1" outlineLevel="1" x14ac:dyDescent="0.3">
      <c r="A6" s="39" t="s">
        <v>827</v>
      </c>
      <c r="B6" s="8" t="s">
        <v>1697</v>
      </c>
      <c r="C6" s="8" t="s">
        <v>650</v>
      </c>
      <c r="D6" s="39" t="s">
        <v>651</v>
      </c>
      <c r="E6" s="73">
        <v>2018</v>
      </c>
      <c r="F6" s="10" t="s">
        <v>866</v>
      </c>
      <c r="G6" s="45" t="s">
        <v>1410</v>
      </c>
      <c r="H6" s="8" t="s">
        <v>1346</v>
      </c>
      <c r="I6" s="90" t="s">
        <v>1696</v>
      </c>
      <c r="P6" s="45"/>
      <c r="AW6" s="17" t="s">
        <v>1807</v>
      </c>
    </row>
    <row r="7" spans="1:114" ht="55.05" customHeight="1" outlineLevel="1" x14ac:dyDescent="0.3">
      <c r="A7" s="39" t="s">
        <v>827</v>
      </c>
      <c r="B7" s="8" t="s">
        <v>1349</v>
      </c>
      <c r="C7" s="8" t="s">
        <v>816</v>
      </c>
      <c r="D7" s="39" t="s">
        <v>436</v>
      </c>
      <c r="E7" s="73">
        <v>2016</v>
      </c>
      <c r="F7" s="1" t="s">
        <v>879</v>
      </c>
      <c r="G7" s="45" t="s">
        <v>976</v>
      </c>
      <c r="H7" s="8" t="s">
        <v>1273</v>
      </c>
      <c r="I7" s="90" t="s">
        <v>1349</v>
      </c>
      <c r="P7" s="45"/>
      <c r="AW7" s="17" t="s">
        <v>1808</v>
      </c>
    </row>
    <row r="8" spans="1:114" ht="55.05" customHeight="1" outlineLevel="1" x14ac:dyDescent="0.3">
      <c r="A8" s="39" t="s">
        <v>827</v>
      </c>
      <c r="B8" s="8" t="s">
        <v>1695</v>
      </c>
      <c r="C8" s="8" t="s">
        <v>1281</v>
      </c>
      <c r="D8" s="39" t="s">
        <v>789</v>
      </c>
      <c r="E8" s="73">
        <v>2018</v>
      </c>
      <c r="F8" s="10" t="s">
        <v>877</v>
      </c>
      <c r="G8" s="45" t="s">
        <v>427</v>
      </c>
      <c r="H8" s="8" t="s">
        <v>1352</v>
      </c>
      <c r="I8" s="90" t="s">
        <v>1694</v>
      </c>
      <c r="P8" s="45"/>
      <c r="AW8" s="98" t="s">
        <v>1809</v>
      </c>
    </row>
    <row r="9" spans="1:114" ht="55.05" customHeight="1" x14ac:dyDescent="0.3">
      <c r="A9" s="39" t="s">
        <v>827</v>
      </c>
      <c r="B9" s="8" t="s">
        <v>1691</v>
      </c>
      <c r="C9" s="8" t="s">
        <v>1281</v>
      </c>
      <c r="D9" s="71" t="s">
        <v>789</v>
      </c>
      <c r="E9" s="74">
        <v>2021</v>
      </c>
      <c r="F9" s="10" t="s">
        <v>861</v>
      </c>
      <c r="G9" s="45" t="s">
        <v>427</v>
      </c>
      <c r="H9" s="10" t="s">
        <v>1348</v>
      </c>
      <c r="I9" s="90" t="s">
        <v>1280</v>
      </c>
      <c r="P9" s="45"/>
      <c r="AW9" s="55" t="s">
        <v>1810</v>
      </c>
    </row>
    <row r="10" spans="1:114" ht="55.05" customHeight="1" x14ac:dyDescent="0.3">
      <c r="A10" s="39" t="s">
        <v>1051</v>
      </c>
      <c r="B10" s="8" t="s">
        <v>1432</v>
      </c>
      <c r="C10" s="8" t="s">
        <v>1370</v>
      </c>
      <c r="D10" s="39" t="s">
        <v>661</v>
      </c>
      <c r="E10" s="73">
        <v>2018</v>
      </c>
      <c r="G10" s="45" t="s">
        <v>427</v>
      </c>
      <c r="H10" s="8" t="s">
        <v>1371</v>
      </c>
      <c r="I10" s="90" t="s">
        <v>1431</v>
      </c>
      <c r="P10" s="45"/>
      <c r="AW10" s="17" t="s">
        <v>1811</v>
      </c>
    </row>
    <row r="11" spans="1:114" ht="55.05" customHeight="1" x14ac:dyDescent="0.3">
      <c r="A11" s="39" t="s">
        <v>1051</v>
      </c>
      <c r="B11" s="8" t="s">
        <v>706</v>
      </c>
      <c r="C11" s="8" t="s">
        <v>1275</v>
      </c>
      <c r="D11" s="39" t="s">
        <v>701</v>
      </c>
      <c r="E11" s="73">
        <v>2018</v>
      </c>
      <c r="G11" s="45" t="s">
        <v>427</v>
      </c>
      <c r="H11" s="8" t="s">
        <v>1356</v>
      </c>
      <c r="I11" s="90" t="s">
        <v>1587</v>
      </c>
      <c r="P11" s="45"/>
      <c r="AW11" s="17" t="s">
        <v>1812</v>
      </c>
    </row>
    <row r="12" spans="1:114" ht="55.05" customHeight="1" x14ac:dyDescent="0.3">
      <c r="A12" s="39" t="s">
        <v>1051</v>
      </c>
      <c r="B12" s="8" t="s">
        <v>1704</v>
      </c>
      <c r="C12" s="8" t="s">
        <v>695</v>
      </c>
      <c r="D12" s="39" t="s">
        <v>696</v>
      </c>
      <c r="E12" s="73">
        <v>2018</v>
      </c>
      <c r="F12" s="10" t="s">
        <v>927</v>
      </c>
      <c r="G12" s="45" t="s">
        <v>1159</v>
      </c>
      <c r="H12" s="8" t="s">
        <v>1383</v>
      </c>
      <c r="I12" s="90" t="s">
        <v>1669</v>
      </c>
      <c r="P12" s="45"/>
    </row>
    <row r="13" spans="1:114" ht="55.05" customHeight="1" x14ac:dyDescent="0.3">
      <c r="A13" s="39" t="s">
        <v>1051</v>
      </c>
      <c r="B13" s="8" t="s">
        <v>1706</v>
      </c>
      <c r="C13" s="8" t="s">
        <v>1705</v>
      </c>
      <c r="D13" s="39" t="s">
        <v>699</v>
      </c>
      <c r="E13" s="73">
        <v>2014</v>
      </c>
      <c r="F13" s="10" t="s">
        <v>912</v>
      </c>
      <c r="G13" s="45" t="s">
        <v>427</v>
      </c>
      <c r="H13" s="8" t="s">
        <v>1670</v>
      </c>
      <c r="I13" s="90" t="s">
        <v>1709</v>
      </c>
      <c r="P13" s="45"/>
    </row>
    <row r="14" spans="1:114" ht="55.05" customHeight="1" x14ac:dyDescent="0.3">
      <c r="A14" s="39" t="s">
        <v>749</v>
      </c>
      <c r="B14" s="8" t="s">
        <v>1710</v>
      </c>
      <c r="C14" s="8" t="s">
        <v>698</v>
      </c>
      <c r="D14" s="39" t="s">
        <v>699</v>
      </c>
      <c r="E14" s="73">
        <v>2019</v>
      </c>
      <c r="G14" s="45" t="s">
        <v>427</v>
      </c>
      <c r="H14" s="8" t="s">
        <v>1707</v>
      </c>
      <c r="I14" s="90" t="s">
        <v>1708</v>
      </c>
      <c r="P14" s="45"/>
    </row>
    <row r="15" spans="1:114" ht="55.05" customHeight="1" x14ac:dyDescent="0.3">
      <c r="A15" s="39" t="s">
        <v>1051</v>
      </c>
      <c r="B15" s="8" t="s">
        <v>1288</v>
      </c>
      <c r="C15" s="8" t="s">
        <v>1711</v>
      </c>
      <c r="D15" s="39" t="s">
        <v>1062</v>
      </c>
      <c r="E15" s="73">
        <v>2018</v>
      </c>
      <c r="G15" s="45" t="s">
        <v>427</v>
      </c>
      <c r="H15" s="8" t="s">
        <v>1357</v>
      </c>
      <c r="I15" s="90" t="s">
        <v>1288</v>
      </c>
      <c r="P15" s="45"/>
    </row>
    <row r="16" spans="1:114" ht="55.05" customHeight="1" x14ac:dyDescent="0.3">
      <c r="A16" s="39" t="s">
        <v>1051</v>
      </c>
      <c r="B16" s="8" t="s">
        <v>1712</v>
      </c>
      <c r="C16" s="8" t="s">
        <v>1713</v>
      </c>
      <c r="D16" s="39" t="s">
        <v>436</v>
      </c>
      <c r="E16" s="73">
        <v>2018</v>
      </c>
      <c r="G16" s="45" t="s">
        <v>427</v>
      </c>
      <c r="H16" s="8" t="s">
        <v>1671</v>
      </c>
      <c r="I16" s="90" t="s">
        <v>1363</v>
      </c>
      <c r="P16" s="45"/>
    </row>
    <row r="17" spans="1:16" ht="55.05" customHeight="1" x14ac:dyDescent="0.3">
      <c r="A17" s="39" t="s">
        <v>1051</v>
      </c>
      <c r="B17" s="8" t="s">
        <v>608</v>
      </c>
      <c r="C17" s="8" t="s">
        <v>591</v>
      </c>
      <c r="D17" s="39" t="s">
        <v>760</v>
      </c>
      <c r="E17" s="73">
        <v>2017</v>
      </c>
      <c r="G17" s="45" t="s">
        <v>1410</v>
      </c>
      <c r="H17" s="8" t="s">
        <v>1386</v>
      </c>
      <c r="I17" s="90" t="s">
        <v>608</v>
      </c>
      <c r="P17" s="45"/>
    </row>
    <row r="18" spans="1:16" ht="55.05" customHeight="1" x14ac:dyDescent="0.3">
      <c r="A18" s="39" t="s">
        <v>1051</v>
      </c>
      <c r="B18" s="8" t="s">
        <v>1058</v>
      </c>
      <c r="C18" s="8" t="s">
        <v>1296</v>
      </c>
      <c r="D18" s="39" t="s">
        <v>622</v>
      </c>
      <c r="E18" s="73">
        <v>2019</v>
      </c>
      <c r="G18" s="45" t="s">
        <v>1159</v>
      </c>
      <c r="H18" s="8" t="s">
        <v>1366</v>
      </c>
      <c r="I18" s="90" t="s">
        <v>1058</v>
      </c>
      <c r="J18" s="10" t="s">
        <v>1672</v>
      </c>
      <c r="P18" s="45"/>
    </row>
    <row r="19" spans="1:16" ht="55.05" customHeight="1" x14ac:dyDescent="0.3">
      <c r="A19" s="39" t="s">
        <v>1051</v>
      </c>
      <c r="B19" s="8" t="s">
        <v>1594</v>
      </c>
      <c r="C19" s="8" t="s">
        <v>1358</v>
      </c>
      <c r="D19" s="39" t="s">
        <v>1053</v>
      </c>
      <c r="E19" s="73">
        <v>2018</v>
      </c>
      <c r="G19" s="45" t="s">
        <v>427</v>
      </c>
      <c r="H19" s="8" t="s">
        <v>1407</v>
      </c>
      <c r="I19" s="90" t="s">
        <v>1673</v>
      </c>
      <c r="P19" s="45"/>
    </row>
    <row r="20" spans="1:16" ht="55.05" customHeight="1" x14ac:dyDescent="0.3">
      <c r="A20" s="39" t="s">
        <v>1051</v>
      </c>
      <c r="B20" s="8" t="s">
        <v>1408</v>
      </c>
      <c r="C20" s="8" t="s">
        <v>1365</v>
      </c>
      <c r="D20" s="39" t="s">
        <v>1054</v>
      </c>
      <c r="E20" s="73">
        <v>2019</v>
      </c>
      <c r="G20" s="45" t="s">
        <v>427</v>
      </c>
      <c r="H20" s="8" t="s">
        <v>1409</v>
      </c>
      <c r="I20" s="90" t="s">
        <v>1674</v>
      </c>
      <c r="P20" s="45"/>
    </row>
    <row r="21" spans="1:16" ht="55.05" customHeight="1" x14ac:dyDescent="0.3">
      <c r="A21" s="39" t="s">
        <v>1051</v>
      </c>
      <c r="B21" s="8" t="s">
        <v>822</v>
      </c>
      <c r="C21" s="8" t="s">
        <v>823</v>
      </c>
      <c r="D21" s="39" t="s">
        <v>760</v>
      </c>
      <c r="E21" s="73">
        <v>2017</v>
      </c>
      <c r="F21" s="10" t="s">
        <v>824</v>
      </c>
      <c r="G21" s="45" t="s">
        <v>1410</v>
      </c>
      <c r="H21" s="8" t="s">
        <v>1387</v>
      </c>
      <c r="I21" s="90" t="s">
        <v>1675</v>
      </c>
      <c r="P21" s="45"/>
    </row>
    <row r="22" spans="1:16" ht="55.05" customHeight="1" x14ac:dyDescent="0.3">
      <c r="A22" s="39" t="s">
        <v>1051</v>
      </c>
      <c r="B22" s="8" t="s">
        <v>792</v>
      </c>
      <c r="C22" s="8" t="s">
        <v>1359</v>
      </c>
      <c r="D22" s="39" t="s">
        <v>1052</v>
      </c>
      <c r="E22" s="73">
        <v>2019</v>
      </c>
      <c r="G22" s="45" t="s">
        <v>427</v>
      </c>
      <c r="H22" s="10" t="s">
        <v>1360</v>
      </c>
      <c r="I22" s="90" t="s">
        <v>1676</v>
      </c>
      <c r="P22" s="45"/>
    </row>
    <row r="23" spans="1:16" ht="55.05" customHeight="1" x14ac:dyDescent="0.3">
      <c r="A23" s="39" t="s">
        <v>1051</v>
      </c>
      <c r="B23" s="8" t="s">
        <v>1354</v>
      </c>
      <c r="C23" s="8" t="s">
        <v>985</v>
      </c>
      <c r="D23" s="39" t="s">
        <v>701</v>
      </c>
      <c r="E23" s="73">
        <v>2020</v>
      </c>
      <c r="G23" s="45" t="s">
        <v>427</v>
      </c>
      <c r="H23" s="77" t="s">
        <v>1355</v>
      </c>
      <c r="I23" s="90" t="s">
        <v>1677</v>
      </c>
      <c r="P23" s="45"/>
    </row>
    <row r="24" spans="1:16" ht="55.05" customHeight="1" x14ac:dyDescent="0.3">
      <c r="A24" s="39" t="s">
        <v>1051</v>
      </c>
      <c r="B24" s="8" t="s">
        <v>793</v>
      </c>
      <c r="C24" s="8" t="s">
        <v>1406</v>
      </c>
      <c r="D24" s="39" t="s">
        <v>661</v>
      </c>
      <c r="E24" s="73">
        <v>2018</v>
      </c>
      <c r="G24" s="45" t="s">
        <v>427</v>
      </c>
      <c r="H24" s="8" t="s">
        <v>1369</v>
      </c>
      <c r="I24" s="90" t="s">
        <v>1678</v>
      </c>
      <c r="P24" s="45"/>
    </row>
    <row r="25" spans="1:16" ht="55.05" customHeight="1" x14ac:dyDescent="0.3">
      <c r="A25" s="39" t="s">
        <v>1051</v>
      </c>
      <c r="B25" s="8" t="s">
        <v>1700</v>
      </c>
      <c r="C25" s="8" t="s">
        <v>1701</v>
      </c>
      <c r="D25" s="39" t="s">
        <v>789</v>
      </c>
      <c r="E25" s="73">
        <v>2020</v>
      </c>
      <c r="G25" s="45" t="s">
        <v>1410</v>
      </c>
      <c r="H25" s="8" t="s">
        <v>1702</v>
      </c>
      <c r="I25" s="90" t="s">
        <v>1703</v>
      </c>
      <c r="P25" s="45"/>
    </row>
    <row r="26" spans="1:16" ht="55.05" customHeight="1" x14ac:dyDescent="0.3">
      <c r="A26" s="39" t="s">
        <v>1051</v>
      </c>
      <c r="B26" s="8" t="s">
        <v>1389</v>
      </c>
      <c r="C26" s="8" t="s">
        <v>768</v>
      </c>
      <c r="D26" s="39" t="s">
        <v>760</v>
      </c>
      <c r="E26" s="73">
        <v>2019</v>
      </c>
      <c r="G26" s="45" t="s">
        <v>1159</v>
      </c>
      <c r="H26" s="8" t="s">
        <v>1390</v>
      </c>
      <c r="I26" s="90" t="s">
        <v>1679</v>
      </c>
      <c r="P26" s="45"/>
    </row>
    <row r="27" spans="1:16" ht="55.05" customHeight="1" x14ac:dyDescent="0.3">
      <c r="A27" s="39" t="s">
        <v>1051</v>
      </c>
      <c r="B27" s="8" t="s">
        <v>1342</v>
      </c>
      <c r="C27" s="8" t="s">
        <v>1341</v>
      </c>
      <c r="D27" s="39" t="s">
        <v>690</v>
      </c>
      <c r="E27" s="73">
        <v>2017</v>
      </c>
      <c r="G27" s="45" t="s">
        <v>427</v>
      </c>
      <c r="H27" s="8" t="s">
        <v>1343</v>
      </c>
      <c r="I27" s="90" t="s">
        <v>1342</v>
      </c>
      <c r="P27" s="45"/>
    </row>
    <row r="28" spans="1:16" ht="55.05" customHeight="1" x14ac:dyDescent="0.3">
      <c r="A28" s="39" t="s">
        <v>1051</v>
      </c>
      <c r="B28" s="8" t="s">
        <v>575</v>
      </c>
      <c r="C28" s="8" t="s">
        <v>1381</v>
      </c>
      <c r="D28" s="39" t="s">
        <v>436</v>
      </c>
      <c r="E28" s="73">
        <v>2019</v>
      </c>
      <c r="G28" s="45" t="s">
        <v>427</v>
      </c>
      <c r="H28" s="8" t="s">
        <v>1382</v>
      </c>
      <c r="I28" s="90" t="s">
        <v>575</v>
      </c>
      <c r="P28" s="45"/>
    </row>
    <row r="29" spans="1:16" ht="55.05" customHeight="1" x14ac:dyDescent="0.3">
      <c r="A29" s="39" t="s">
        <v>1051</v>
      </c>
      <c r="B29" s="8" t="s">
        <v>1373</v>
      </c>
      <c r="C29" s="8" t="s">
        <v>1374</v>
      </c>
      <c r="D29" s="39" t="s">
        <v>667</v>
      </c>
      <c r="E29" s="73">
        <v>2018</v>
      </c>
      <c r="G29" s="45" t="s">
        <v>427</v>
      </c>
      <c r="H29" s="8" t="s">
        <v>1375</v>
      </c>
      <c r="I29" s="90" t="s">
        <v>1373</v>
      </c>
      <c r="P29" s="45"/>
    </row>
    <row r="30" spans="1:16" ht="55.05" customHeight="1" x14ac:dyDescent="0.3">
      <c r="A30" s="39" t="s">
        <v>1051</v>
      </c>
      <c r="B30" s="8" t="s">
        <v>615</v>
      </c>
      <c r="C30" s="8" t="s">
        <v>616</v>
      </c>
      <c r="D30" s="39" t="s">
        <v>760</v>
      </c>
      <c r="E30" s="73">
        <v>2018</v>
      </c>
      <c r="G30" s="45" t="s">
        <v>1159</v>
      </c>
      <c r="H30" s="8" t="s">
        <v>1353</v>
      </c>
      <c r="I30" s="90" t="s">
        <v>615</v>
      </c>
      <c r="P30" s="45"/>
    </row>
    <row r="31" spans="1:16" ht="55.05" customHeight="1" x14ac:dyDescent="0.3">
      <c r="A31" s="39" t="s">
        <v>1051</v>
      </c>
      <c r="B31" s="8" t="s">
        <v>1061</v>
      </c>
      <c r="C31" s="8" t="s">
        <v>1367</v>
      </c>
      <c r="D31" s="39" t="s">
        <v>622</v>
      </c>
      <c r="E31" s="73">
        <v>2019</v>
      </c>
      <c r="G31" s="45" t="s">
        <v>427</v>
      </c>
      <c r="H31" s="10" t="s">
        <v>1368</v>
      </c>
      <c r="I31" s="90" t="s">
        <v>1061</v>
      </c>
      <c r="P31" s="45"/>
    </row>
    <row r="32" spans="1:16" ht="55.05" customHeight="1" x14ac:dyDescent="0.3">
      <c r="A32" s="39" t="s">
        <v>1051</v>
      </c>
      <c r="B32" s="8" t="s">
        <v>1055</v>
      </c>
      <c r="C32" s="8" t="s">
        <v>1056</v>
      </c>
      <c r="D32" s="39" t="s">
        <v>1057</v>
      </c>
      <c r="E32" s="73">
        <v>2019</v>
      </c>
      <c r="G32" s="45" t="s">
        <v>1159</v>
      </c>
      <c r="H32" s="8" t="s">
        <v>1384</v>
      </c>
      <c r="I32" s="90" t="s">
        <v>1680</v>
      </c>
      <c r="P32" s="45"/>
    </row>
    <row r="33" spans="1:16" ht="55.05" customHeight="1" x14ac:dyDescent="0.3">
      <c r="A33" s="39" t="s">
        <v>1051</v>
      </c>
      <c r="B33" s="8" t="s">
        <v>1584</v>
      </c>
      <c r="C33" s="8" t="s">
        <v>1388</v>
      </c>
      <c r="D33" s="39" t="s">
        <v>436</v>
      </c>
      <c r="E33" s="73">
        <v>2018</v>
      </c>
      <c r="G33" s="45" t="s">
        <v>976</v>
      </c>
      <c r="H33" s="8" t="s">
        <v>1585</v>
      </c>
      <c r="I33" s="90" t="s">
        <v>1586</v>
      </c>
      <c r="P33" s="45"/>
    </row>
    <row r="34" spans="1:16" ht="55.05" customHeight="1" x14ac:dyDescent="0.3">
      <c r="A34" s="39" t="s">
        <v>1051</v>
      </c>
      <c r="B34" s="8" t="s">
        <v>1417</v>
      </c>
      <c r="C34" s="8" t="s">
        <v>1418</v>
      </c>
      <c r="D34" s="39" t="s">
        <v>621</v>
      </c>
      <c r="E34" s="73">
        <v>2019</v>
      </c>
      <c r="G34" s="45" t="s">
        <v>427</v>
      </c>
      <c r="H34" s="8" t="s">
        <v>1419</v>
      </c>
      <c r="I34" s="90" t="s">
        <v>1417</v>
      </c>
      <c r="P34" s="45"/>
    </row>
    <row r="35" spans="1:16" ht="55.05" customHeight="1" x14ac:dyDescent="0.3">
      <c r="A35" s="39" t="s">
        <v>1051</v>
      </c>
      <c r="B35" s="8" t="s">
        <v>1416</v>
      </c>
      <c r="C35" s="8" t="s">
        <v>617</v>
      </c>
      <c r="D35" s="39" t="s">
        <v>760</v>
      </c>
      <c r="E35" s="73">
        <v>2018</v>
      </c>
      <c r="G35" s="45" t="s">
        <v>1159</v>
      </c>
      <c r="H35" s="8" t="s">
        <v>1391</v>
      </c>
      <c r="I35" s="90" t="s">
        <v>1416</v>
      </c>
      <c r="P35" s="45"/>
    </row>
    <row r="36" spans="1:16" ht="55.05" customHeight="1" x14ac:dyDescent="0.3">
      <c r="A36" s="39" t="s">
        <v>1051</v>
      </c>
      <c r="B36" s="8" t="s">
        <v>631</v>
      </c>
      <c r="C36" s="8" t="s">
        <v>589</v>
      </c>
      <c r="D36" s="39" t="s">
        <v>651</v>
      </c>
      <c r="E36" s="73">
        <v>2017</v>
      </c>
      <c r="G36" s="45" t="s">
        <v>1410</v>
      </c>
      <c r="H36" s="8" t="s">
        <v>1411</v>
      </c>
      <c r="I36" s="90" t="s">
        <v>1681</v>
      </c>
      <c r="P36" s="45"/>
    </row>
    <row r="37" spans="1:16" ht="55.05" customHeight="1" x14ac:dyDescent="0.3">
      <c r="A37" s="39" t="s">
        <v>1051</v>
      </c>
      <c r="B37" s="8" t="s">
        <v>1376</v>
      </c>
      <c r="C37" s="8" t="s">
        <v>1377</v>
      </c>
      <c r="D37" s="39" t="s">
        <v>674</v>
      </c>
      <c r="E37" s="73">
        <v>2018</v>
      </c>
      <c r="G37" s="45" t="s">
        <v>427</v>
      </c>
      <c r="H37" s="8" t="s">
        <v>1379</v>
      </c>
      <c r="I37" s="90" t="s">
        <v>1682</v>
      </c>
      <c r="P37" s="45"/>
    </row>
    <row r="38" spans="1:16" ht="55.05" customHeight="1" x14ac:dyDescent="0.3">
      <c r="A38" s="39" t="s">
        <v>1051</v>
      </c>
      <c r="B38" s="8" t="s">
        <v>572</v>
      </c>
      <c r="C38" s="8" t="s">
        <v>1268</v>
      </c>
      <c r="D38" s="39" t="s">
        <v>436</v>
      </c>
      <c r="E38" s="73">
        <v>2019</v>
      </c>
      <c r="G38" s="45" t="s">
        <v>427</v>
      </c>
      <c r="H38" s="8" t="s">
        <v>1372</v>
      </c>
      <c r="I38" s="90" t="s">
        <v>1714</v>
      </c>
      <c r="P38" s="45"/>
    </row>
    <row r="39" spans="1:16" ht="55.05" customHeight="1" x14ac:dyDescent="0.3">
      <c r="A39" s="39" t="s">
        <v>1051</v>
      </c>
      <c r="B39" s="8" t="s">
        <v>1349</v>
      </c>
      <c r="C39" s="8" t="s">
        <v>1717</v>
      </c>
      <c r="D39" s="39" t="s">
        <v>760</v>
      </c>
      <c r="E39" s="73">
        <v>2016</v>
      </c>
      <c r="G39" s="45" t="s">
        <v>976</v>
      </c>
      <c r="H39" s="8" t="s">
        <v>1414</v>
      </c>
      <c r="I39" s="90" t="s">
        <v>1715</v>
      </c>
      <c r="P39" s="45"/>
    </row>
    <row r="40" spans="1:16" ht="55.05" customHeight="1" x14ac:dyDescent="0.3">
      <c r="A40" s="39" t="s">
        <v>1051</v>
      </c>
      <c r="B40" s="8" t="s">
        <v>1229</v>
      </c>
      <c r="C40" s="8" t="s">
        <v>1718</v>
      </c>
      <c r="D40" s="39" t="s">
        <v>760</v>
      </c>
      <c r="E40" s="73">
        <v>2016</v>
      </c>
      <c r="G40" s="45" t="s">
        <v>427</v>
      </c>
      <c r="H40" s="8" t="s">
        <v>1398</v>
      </c>
      <c r="I40" s="90" t="s">
        <v>1716</v>
      </c>
      <c r="P40" s="45"/>
    </row>
    <row r="41" spans="1:16" ht="55.05" customHeight="1" x14ac:dyDescent="0.3">
      <c r="A41" s="39" t="s">
        <v>1051</v>
      </c>
      <c r="B41" s="8" t="s">
        <v>1719</v>
      </c>
      <c r="C41" s="8" t="s">
        <v>1413</v>
      </c>
      <c r="D41" s="39" t="s">
        <v>760</v>
      </c>
      <c r="E41" s="73">
        <v>2020</v>
      </c>
      <c r="G41" s="45" t="s">
        <v>1410</v>
      </c>
      <c r="H41" s="8" t="s">
        <v>1393</v>
      </c>
      <c r="I41" s="90" t="s">
        <v>1683</v>
      </c>
      <c r="P41" s="45"/>
    </row>
    <row r="42" spans="1:16" ht="55.05" customHeight="1" x14ac:dyDescent="0.3">
      <c r="A42" s="39" t="s">
        <v>1051</v>
      </c>
      <c r="B42" s="8" t="s">
        <v>1420</v>
      </c>
      <c r="C42" s="8" t="s">
        <v>1720</v>
      </c>
      <c r="D42" s="39" t="s">
        <v>622</v>
      </c>
      <c r="E42" s="73">
        <v>2018</v>
      </c>
      <c r="G42" s="45" t="s">
        <v>1159</v>
      </c>
      <c r="H42" s="8" t="s">
        <v>1421</v>
      </c>
      <c r="I42" s="90" t="s">
        <v>1420</v>
      </c>
      <c r="P42" s="45"/>
    </row>
    <row r="43" spans="1:16" ht="55.05" customHeight="1" x14ac:dyDescent="0.3">
      <c r="A43" s="39" t="s">
        <v>1051</v>
      </c>
      <c r="B43" s="8" t="s">
        <v>1722</v>
      </c>
      <c r="C43" s="8" t="s">
        <v>1415</v>
      </c>
      <c r="D43" s="39" t="s">
        <v>436</v>
      </c>
      <c r="E43" s="73">
        <v>2018</v>
      </c>
      <c r="G43" s="45" t="s">
        <v>976</v>
      </c>
      <c r="H43" s="8" t="s">
        <v>1385</v>
      </c>
      <c r="I43" s="90" t="s">
        <v>1721</v>
      </c>
      <c r="P43" s="45"/>
    </row>
    <row r="44" spans="1:16" ht="55.05" customHeight="1" x14ac:dyDescent="0.3">
      <c r="A44" s="39" t="s">
        <v>1051</v>
      </c>
      <c r="B44" s="8" t="s">
        <v>814</v>
      </c>
      <c r="C44" s="8" t="s">
        <v>1361</v>
      </c>
      <c r="D44" s="39" t="s">
        <v>1052</v>
      </c>
      <c r="E44" s="73">
        <v>2018</v>
      </c>
      <c r="G44" s="45" t="s">
        <v>976</v>
      </c>
      <c r="H44" s="8" t="s">
        <v>1362</v>
      </c>
      <c r="I44" s="90" t="s">
        <v>814</v>
      </c>
    </row>
    <row r="45" spans="1:16" ht="55.05" customHeight="1" x14ac:dyDescent="0.3">
      <c r="A45" s="39" t="s">
        <v>749</v>
      </c>
      <c r="B45" s="8" t="s">
        <v>1525</v>
      </c>
      <c r="C45" s="8" t="s">
        <v>1402</v>
      </c>
      <c r="D45" s="39" t="s">
        <v>760</v>
      </c>
      <c r="E45" s="73">
        <v>2025</v>
      </c>
      <c r="G45" s="45" t="s">
        <v>1159</v>
      </c>
      <c r="H45" s="8" t="s">
        <v>1530</v>
      </c>
      <c r="I45" s="90" t="s">
        <v>1525</v>
      </c>
    </row>
    <row r="46" spans="1:16" ht="55.05" customHeight="1" x14ac:dyDescent="0.3">
      <c r="A46" s="39" t="s">
        <v>749</v>
      </c>
      <c r="B46" s="8" t="s">
        <v>1534</v>
      </c>
      <c r="C46" s="8" t="s">
        <v>1535</v>
      </c>
      <c r="D46" s="39" t="s">
        <v>760</v>
      </c>
      <c r="E46" s="73">
        <v>2025</v>
      </c>
      <c r="G46" s="45" t="s">
        <v>1159</v>
      </c>
      <c r="H46" s="8" t="s">
        <v>1536</v>
      </c>
      <c r="I46" s="90" t="s">
        <v>1534</v>
      </c>
    </row>
    <row r="47" spans="1:16" ht="55.05" customHeight="1" x14ac:dyDescent="0.3">
      <c r="A47" s="39" t="s">
        <v>749</v>
      </c>
      <c r="B47" s="8" t="s">
        <v>1572</v>
      </c>
      <c r="C47" s="8" t="s">
        <v>591</v>
      </c>
      <c r="D47" s="39" t="s">
        <v>436</v>
      </c>
      <c r="E47" s="73">
        <v>2024</v>
      </c>
      <c r="F47" s="10" t="s">
        <v>597</v>
      </c>
      <c r="G47" s="45" t="s">
        <v>1573</v>
      </c>
      <c r="H47" s="8" t="s">
        <v>1574</v>
      </c>
      <c r="I47" s="90" t="s">
        <v>1572</v>
      </c>
      <c r="P47" s="45" t="str">
        <f>IF(OR(E48&lt;2007, E48&gt;2025), "Error", "OK")</f>
        <v>OK</v>
      </c>
    </row>
    <row r="48" spans="1:16" ht="55.05" customHeight="1" x14ac:dyDescent="0.3">
      <c r="A48" s="39" t="s">
        <v>749</v>
      </c>
      <c r="B48" s="8" t="s">
        <v>1607</v>
      </c>
      <c r="C48" s="8" t="s">
        <v>1608</v>
      </c>
      <c r="D48" s="39" t="s">
        <v>622</v>
      </c>
      <c r="E48" s="73">
        <v>2017</v>
      </c>
      <c r="G48" s="45" t="s">
        <v>427</v>
      </c>
      <c r="H48" s="8" t="s">
        <v>1609</v>
      </c>
      <c r="I48" s="90" t="s">
        <v>1610</v>
      </c>
      <c r="P48" s="45" t="str">
        <f>IF(OR(E49&lt;2007, E49&gt;2025), "Error", "OK")</f>
        <v>OK</v>
      </c>
    </row>
    <row r="49" spans="1:16" ht="55.05" customHeight="1" x14ac:dyDescent="0.3">
      <c r="A49" s="39" t="s">
        <v>749</v>
      </c>
      <c r="B49" s="8" t="s">
        <v>583</v>
      </c>
      <c r="C49" s="8" t="s">
        <v>1434</v>
      </c>
      <c r="D49" s="39" t="s">
        <v>760</v>
      </c>
      <c r="E49" s="73">
        <v>2021</v>
      </c>
      <c r="G49" s="45" t="s">
        <v>1159</v>
      </c>
      <c r="H49" s="8" t="s">
        <v>1435</v>
      </c>
      <c r="I49" s="90" t="s">
        <v>1436</v>
      </c>
      <c r="P49" s="45" t="str">
        <f>IF(OR(E50&lt;2007, E50&gt;2025), "Error", "OK")</f>
        <v>OK</v>
      </c>
    </row>
    <row r="50" spans="1:16" ht="55.05" customHeight="1" x14ac:dyDescent="0.3">
      <c r="A50" s="39" t="s">
        <v>749</v>
      </c>
      <c r="B50" s="8" t="s">
        <v>958</v>
      </c>
      <c r="C50" s="8" t="s">
        <v>959</v>
      </c>
      <c r="D50" s="39" t="s">
        <v>960</v>
      </c>
      <c r="E50" s="73">
        <v>2025</v>
      </c>
      <c r="F50" s="10" t="s">
        <v>633</v>
      </c>
      <c r="G50" s="45" t="s">
        <v>1410</v>
      </c>
      <c r="H50" s="8" t="s">
        <v>1441</v>
      </c>
      <c r="I50" s="90" t="s">
        <v>958</v>
      </c>
    </row>
    <row r="51" spans="1:16" ht="55.05" customHeight="1" x14ac:dyDescent="0.3">
      <c r="A51" s="39" t="s">
        <v>749</v>
      </c>
      <c r="B51" s="8" t="s">
        <v>1492</v>
      </c>
      <c r="C51" s="8" t="s">
        <v>1493</v>
      </c>
      <c r="D51" s="39" t="s">
        <v>685</v>
      </c>
      <c r="E51" s="73">
        <v>2025</v>
      </c>
      <c r="G51" s="45" t="s">
        <v>1159</v>
      </c>
      <c r="H51" s="8" t="s">
        <v>1491</v>
      </c>
      <c r="I51" s="93" t="s">
        <v>1723</v>
      </c>
    </row>
    <row r="52" spans="1:16" ht="55.05" customHeight="1" x14ac:dyDescent="0.3">
      <c r="A52" s="39" t="s">
        <v>749</v>
      </c>
      <c r="B52" s="8" t="s">
        <v>1522</v>
      </c>
      <c r="C52" s="8" t="s">
        <v>1523</v>
      </c>
      <c r="D52" s="39" t="s">
        <v>436</v>
      </c>
      <c r="E52" s="73">
        <v>2025</v>
      </c>
      <c r="G52" s="45" t="s">
        <v>1159</v>
      </c>
      <c r="H52" s="8" t="s">
        <v>1524</v>
      </c>
      <c r="I52" s="90" t="s">
        <v>1522</v>
      </c>
      <c r="P52" s="45" t="str">
        <f>IF(OR(E53&lt;2007, E53&gt;2025), "Error", "OK")</f>
        <v>OK</v>
      </c>
    </row>
    <row r="53" spans="1:16" ht="55.05" customHeight="1" x14ac:dyDescent="0.3">
      <c r="A53" s="39" t="s">
        <v>749</v>
      </c>
      <c r="B53" s="8" t="s">
        <v>1644</v>
      </c>
      <c r="C53" s="8" t="s">
        <v>1645</v>
      </c>
      <c r="D53" s="39" t="s">
        <v>1646</v>
      </c>
      <c r="E53" s="73">
        <v>2021</v>
      </c>
      <c r="G53" s="45" t="s">
        <v>976</v>
      </c>
      <c r="H53" s="8" t="s">
        <v>1656</v>
      </c>
      <c r="I53" s="90" t="s">
        <v>1650</v>
      </c>
      <c r="P53" s="45" t="str">
        <f>IF(OR(E54&lt;2007, E54&gt;2025), "Error", "OK")</f>
        <v>OK</v>
      </c>
    </row>
    <row r="54" spans="1:16" ht="55.05" customHeight="1" x14ac:dyDescent="0.3">
      <c r="A54" s="39" t="s">
        <v>749</v>
      </c>
      <c r="B54" s="8" t="s">
        <v>1291</v>
      </c>
      <c r="C54" s="8" t="s">
        <v>1442</v>
      </c>
      <c r="D54" s="39" t="s">
        <v>622</v>
      </c>
      <c r="E54" s="73">
        <v>2025</v>
      </c>
      <c r="F54" s="10" t="s">
        <v>908</v>
      </c>
      <c r="G54" s="45" t="s">
        <v>1159</v>
      </c>
      <c r="H54" s="8" t="s">
        <v>1292</v>
      </c>
      <c r="I54" s="90" t="s">
        <v>1443</v>
      </c>
      <c r="P54" s="45" t="str">
        <f>IF(OR(E55&lt;2007, E55&gt;2025), "Error", "OK")</f>
        <v>OK</v>
      </c>
    </row>
    <row r="55" spans="1:16" ht="55.05" customHeight="1" x14ac:dyDescent="0.3">
      <c r="A55" s="39" t="s">
        <v>749</v>
      </c>
      <c r="B55" s="8" t="s">
        <v>888</v>
      </c>
      <c r="C55" s="8" t="s">
        <v>889</v>
      </c>
      <c r="D55" s="39" t="s">
        <v>701</v>
      </c>
      <c r="E55" s="73">
        <v>2025</v>
      </c>
      <c r="F55" s="10" t="s">
        <v>890</v>
      </c>
      <c r="G55" s="45" t="s">
        <v>427</v>
      </c>
      <c r="H55" s="8" t="s">
        <v>1447</v>
      </c>
      <c r="I55" s="90" t="s">
        <v>1448</v>
      </c>
      <c r="P55" s="45" t="str">
        <f>IF(OR(E56&lt;2007, E56&gt;2025), "Error", "OK")</f>
        <v>OK</v>
      </c>
    </row>
    <row r="56" spans="1:16" ht="55.05" customHeight="1" x14ac:dyDescent="0.3">
      <c r="A56" s="39" t="s">
        <v>749</v>
      </c>
      <c r="B56" s="8" t="s">
        <v>1444</v>
      </c>
      <c r="C56" s="8" t="s">
        <v>1338</v>
      </c>
      <c r="D56" s="39" t="s">
        <v>760</v>
      </c>
      <c r="E56" s="73">
        <v>2025</v>
      </c>
      <c r="G56" s="45" t="s">
        <v>976</v>
      </c>
      <c r="H56" s="8" t="s">
        <v>1339</v>
      </c>
      <c r="I56" s="90" t="s">
        <v>1445</v>
      </c>
    </row>
    <row r="57" spans="1:16" ht="55.05" customHeight="1" x14ac:dyDescent="0.3">
      <c r="A57" s="39" t="s">
        <v>749</v>
      </c>
      <c r="B57" s="8" t="s">
        <v>1489</v>
      </c>
      <c r="C57" s="8" t="s">
        <v>1490</v>
      </c>
      <c r="D57" s="39" t="s">
        <v>436</v>
      </c>
      <c r="E57" s="73">
        <v>2021</v>
      </c>
      <c r="G57" s="45" t="s">
        <v>976</v>
      </c>
      <c r="H57" s="8" t="s">
        <v>1491</v>
      </c>
      <c r="I57" s="93" t="s">
        <v>1724</v>
      </c>
      <c r="P57" s="45" t="str">
        <f>IF(OR(E58&lt;2007, E58&gt;2025), "Error", "OK")</f>
        <v>OK</v>
      </c>
    </row>
    <row r="58" spans="1:16" ht="55.05" customHeight="1" x14ac:dyDescent="0.3">
      <c r="A58" s="39" t="s">
        <v>749</v>
      </c>
      <c r="B58" s="8" t="s">
        <v>1603</v>
      </c>
      <c r="C58" s="8" t="s">
        <v>1604</v>
      </c>
      <c r="D58" s="39" t="s">
        <v>651</v>
      </c>
      <c r="E58" s="73">
        <v>2019</v>
      </c>
      <c r="G58" s="45" t="s">
        <v>1410</v>
      </c>
      <c r="H58" s="8" t="s">
        <v>1605</v>
      </c>
      <c r="I58" s="90" t="s">
        <v>1606</v>
      </c>
    </row>
    <row r="59" spans="1:16" ht="55.05" customHeight="1" x14ac:dyDescent="0.3">
      <c r="A59" s="39" t="s">
        <v>749</v>
      </c>
      <c r="B59" s="8" t="s">
        <v>1512</v>
      </c>
      <c r="C59" s="8" t="s">
        <v>852</v>
      </c>
      <c r="D59" s="39" t="s">
        <v>789</v>
      </c>
      <c r="E59" s="73">
        <v>2024</v>
      </c>
      <c r="G59" s="45" t="s">
        <v>427</v>
      </c>
      <c r="H59" s="8" t="s">
        <v>1513</v>
      </c>
      <c r="I59" s="90" t="s">
        <v>1512</v>
      </c>
    </row>
    <row r="60" spans="1:16" ht="55.05" customHeight="1" x14ac:dyDescent="0.3">
      <c r="A60" s="39" t="s">
        <v>749</v>
      </c>
      <c r="B60" s="8" t="s">
        <v>1494</v>
      </c>
      <c r="C60" s="8" t="s">
        <v>1495</v>
      </c>
      <c r="D60" s="39" t="s">
        <v>667</v>
      </c>
      <c r="E60" s="73">
        <v>2020</v>
      </c>
      <c r="G60" s="45" t="s">
        <v>427</v>
      </c>
      <c r="H60" s="8" t="s">
        <v>1491</v>
      </c>
      <c r="I60" s="90" t="s">
        <v>1494</v>
      </c>
      <c r="P60" s="45" t="str">
        <f>IF(OR(E61&lt;2007, E61&gt;2025), "Error", "OK")</f>
        <v>OK</v>
      </c>
    </row>
    <row r="61" spans="1:16" ht="55.05" customHeight="1" x14ac:dyDescent="0.3">
      <c r="A61" s="39" t="s">
        <v>749</v>
      </c>
      <c r="B61" s="8" t="s">
        <v>1452</v>
      </c>
      <c r="C61" s="8" t="s">
        <v>1453</v>
      </c>
      <c r="D61" s="39" t="s">
        <v>760</v>
      </c>
      <c r="E61" s="73">
        <v>2025</v>
      </c>
      <c r="G61" s="45" t="s">
        <v>427</v>
      </c>
      <c r="H61" s="8" t="s">
        <v>1454</v>
      </c>
      <c r="I61" s="90" t="s">
        <v>1452</v>
      </c>
      <c r="P61" s="45" t="str">
        <f>IF(OR(E62&lt;2007, E62&gt;2025), "Error", "OK")</f>
        <v>OK</v>
      </c>
    </row>
    <row r="62" spans="1:16" ht="55.05" customHeight="1" x14ac:dyDescent="0.3">
      <c r="A62" s="39" t="s">
        <v>749</v>
      </c>
      <c r="B62" s="8" t="s">
        <v>1437</v>
      </c>
      <c r="C62" s="8" t="s">
        <v>1438</v>
      </c>
      <c r="D62" s="39" t="s">
        <v>701</v>
      </c>
      <c r="E62" s="73">
        <v>2025</v>
      </c>
      <c r="F62" s="10" t="s">
        <v>907</v>
      </c>
      <c r="G62" s="45" t="s">
        <v>1410</v>
      </c>
      <c r="H62" s="8" t="s">
        <v>1439</v>
      </c>
      <c r="I62" s="90" t="s">
        <v>1440</v>
      </c>
      <c r="P62" s="45" t="str">
        <f>IF(OR(E63&lt;2007, E63&gt;2025), "Error", "OK")</f>
        <v>OK</v>
      </c>
    </row>
    <row r="63" spans="1:16" ht="55.05" customHeight="1" x14ac:dyDescent="0.3">
      <c r="A63" s="39" t="s">
        <v>749</v>
      </c>
      <c r="B63" s="8" t="s">
        <v>1617</v>
      </c>
      <c r="C63" s="8" t="s">
        <v>1619</v>
      </c>
      <c r="D63" s="39" t="s">
        <v>667</v>
      </c>
      <c r="E63" s="73">
        <v>2021</v>
      </c>
      <c r="G63" s="45" t="s">
        <v>427</v>
      </c>
      <c r="H63" s="8" t="s">
        <v>1620</v>
      </c>
      <c r="I63" s="90" t="s">
        <v>1618</v>
      </c>
      <c r="P63" s="45" t="str">
        <f>IF(OR(E64&lt;2007, E64&gt;2025), "Error", "OK")</f>
        <v>OK</v>
      </c>
    </row>
    <row r="64" spans="1:16" ht="55.05" customHeight="1" x14ac:dyDescent="0.3">
      <c r="A64" s="39" t="s">
        <v>749</v>
      </c>
      <c r="B64" s="8" t="s">
        <v>1629</v>
      </c>
      <c r="C64" s="8" t="s">
        <v>1630</v>
      </c>
      <c r="D64" s="39" t="s">
        <v>621</v>
      </c>
      <c r="E64" s="73">
        <v>2017</v>
      </c>
      <c r="G64" s="45" t="s">
        <v>427</v>
      </c>
      <c r="H64" s="8" t="s">
        <v>1653</v>
      </c>
      <c r="I64" s="90" t="s">
        <v>1628</v>
      </c>
      <c r="P64" s="45" t="str">
        <f>IF(OR(E65&lt;2007, E65&gt;2025), "Error", "OK")</f>
        <v>OK</v>
      </c>
    </row>
    <row r="65" spans="1:16" ht="55.05" customHeight="1" x14ac:dyDescent="0.3">
      <c r="A65" s="39" t="s">
        <v>749</v>
      </c>
      <c r="B65" s="8" t="s">
        <v>1595</v>
      </c>
      <c r="C65" s="8" t="s">
        <v>1596</v>
      </c>
      <c r="D65" s="39" t="s">
        <v>649</v>
      </c>
      <c r="E65" s="73">
        <v>2019</v>
      </c>
      <c r="G65" s="45" t="s">
        <v>1410</v>
      </c>
      <c r="H65" s="8" t="s">
        <v>1597</v>
      </c>
      <c r="I65" s="90" t="s">
        <v>1598</v>
      </c>
      <c r="P65" s="45" t="str">
        <f>IF(OR(E66&lt;2007, E66&gt;2025), "Error", "OK")</f>
        <v>OK</v>
      </c>
    </row>
    <row r="66" spans="1:16" ht="55.05" customHeight="1" x14ac:dyDescent="0.3">
      <c r="A66" s="39" t="s">
        <v>749</v>
      </c>
      <c r="B66" s="8" t="s">
        <v>1022</v>
      </c>
      <c r="C66" s="8" t="s">
        <v>717</v>
      </c>
      <c r="D66" s="39" t="s">
        <v>701</v>
      </c>
      <c r="E66" s="73">
        <v>2017</v>
      </c>
      <c r="G66" s="45" t="s">
        <v>976</v>
      </c>
      <c r="H66" s="8" t="s">
        <v>1251</v>
      </c>
      <c r="I66" s="90" t="s">
        <v>1022</v>
      </c>
      <c r="P66" s="45" t="str">
        <f>IF(OR(E67&lt;2007, E67&gt;2025), "Error", "OK")</f>
        <v>OK</v>
      </c>
    </row>
    <row r="67" spans="1:16" ht="55.05" customHeight="1" x14ac:dyDescent="0.3">
      <c r="A67" s="39" t="s">
        <v>749</v>
      </c>
      <c r="B67" s="8" t="s">
        <v>1405</v>
      </c>
      <c r="C67" s="8" t="s">
        <v>1466</v>
      </c>
      <c r="D67" s="39" t="s">
        <v>649</v>
      </c>
      <c r="E67" s="73">
        <v>2019</v>
      </c>
      <c r="F67" s="10" t="s">
        <v>903</v>
      </c>
      <c r="G67" s="45" t="s">
        <v>427</v>
      </c>
      <c r="H67" s="8" t="s">
        <v>1467</v>
      </c>
      <c r="I67" s="90" t="s">
        <v>1468</v>
      </c>
      <c r="P67" s="45" t="str">
        <f>IF(OR(E68&lt;2007, E68&gt;2025), "Error", "OK")</f>
        <v>OK</v>
      </c>
    </row>
    <row r="68" spans="1:16" ht="55.05" customHeight="1" x14ac:dyDescent="0.3">
      <c r="A68" s="39" t="s">
        <v>749</v>
      </c>
      <c r="B68" s="8" t="s">
        <v>1469</v>
      </c>
      <c r="C68" s="8" t="s">
        <v>1470</v>
      </c>
      <c r="D68" s="39" t="s">
        <v>622</v>
      </c>
      <c r="E68" s="73">
        <v>2025</v>
      </c>
      <c r="F68" s="10" t="s">
        <v>904</v>
      </c>
      <c r="G68" s="45" t="s">
        <v>1159</v>
      </c>
      <c r="H68" s="8" t="s">
        <v>1471</v>
      </c>
      <c r="I68" s="90" t="s">
        <v>1469</v>
      </c>
      <c r="P68" s="45" t="str">
        <f>IF(OR(E69&lt;2007, E69&gt;2025), "Error", "OK")</f>
        <v>OK</v>
      </c>
    </row>
    <row r="69" spans="1:16" ht="55.05" customHeight="1" x14ac:dyDescent="0.3">
      <c r="A69" s="39" t="s">
        <v>749</v>
      </c>
      <c r="B69" s="8" t="s">
        <v>1589</v>
      </c>
      <c r="C69" s="8" t="s">
        <v>1590</v>
      </c>
      <c r="D69" s="39" t="s">
        <v>1053</v>
      </c>
      <c r="E69" s="73">
        <v>2018</v>
      </c>
      <c r="G69" s="45" t="s">
        <v>427</v>
      </c>
      <c r="H69" s="8" t="s">
        <v>1591</v>
      </c>
      <c r="I69" s="90" t="s">
        <v>1594</v>
      </c>
      <c r="P69" s="45" t="str">
        <f>IF(OR(E70&lt;2007, E70&gt;2025), "Error", "OK")</f>
        <v>OK</v>
      </c>
    </row>
    <row r="70" spans="1:16" ht="55.05" customHeight="1" x14ac:dyDescent="0.3">
      <c r="A70" s="39" t="s">
        <v>749</v>
      </c>
      <c r="B70" s="8" t="s">
        <v>1058</v>
      </c>
      <c r="C70" s="8" t="s">
        <v>1296</v>
      </c>
      <c r="D70" s="39" t="s">
        <v>622</v>
      </c>
      <c r="E70" s="73">
        <v>2019</v>
      </c>
      <c r="F70" s="10" t="s">
        <v>905</v>
      </c>
      <c r="G70" s="45" t="s">
        <v>1410</v>
      </c>
      <c r="H70" s="8" t="s">
        <v>1297</v>
      </c>
      <c r="I70" s="90" t="s">
        <v>1058</v>
      </c>
      <c r="P70" s="45" t="str">
        <f>IF(OR(E71&lt;2007, E71&gt;2025), "Error", "OK")</f>
        <v>OK</v>
      </c>
    </row>
    <row r="71" spans="1:16" ht="55.05" customHeight="1" x14ac:dyDescent="0.3">
      <c r="A71" s="39" t="s">
        <v>749</v>
      </c>
      <c r="B71" s="8" t="s">
        <v>1472</v>
      </c>
      <c r="C71" s="8" t="s">
        <v>1242</v>
      </c>
      <c r="D71" s="39" t="s">
        <v>851</v>
      </c>
      <c r="E71" s="73">
        <v>2021</v>
      </c>
      <c r="F71" s="10" t="s">
        <v>906</v>
      </c>
      <c r="G71" s="45" t="s">
        <v>427</v>
      </c>
      <c r="H71" s="8" t="s">
        <v>1473</v>
      </c>
      <c r="I71" s="90" t="s">
        <v>1472</v>
      </c>
    </row>
    <row r="72" spans="1:16" ht="55.05" customHeight="1" x14ac:dyDescent="0.3">
      <c r="A72" s="39" t="s">
        <v>749</v>
      </c>
      <c r="B72" s="8" t="s">
        <v>1531</v>
      </c>
      <c r="C72" s="8" t="s">
        <v>1402</v>
      </c>
      <c r="D72" s="39" t="s">
        <v>760</v>
      </c>
      <c r="E72" s="73">
        <v>2024</v>
      </c>
      <c r="F72" s="10" t="s">
        <v>891</v>
      </c>
      <c r="G72" s="45" t="s">
        <v>1159</v>
      </c>
      <c r="H72" s="8" t="s">
        <v>1532</v>
      </c>
      <c r="I72" s="90" t="s">
        <v>1533</v>
      </c>
      <c r="P72" s="45"/>
    </row>
    <row r="73" spans="1:16" ht="55.05" customHeight="1" x14ac:dyDescent="0.3">
      <c r="A73" s="39" t="s">
        <v>749</v>
      </c>
      <c r="B73" s="8" t="s">
        <v>1446</v>
      </c>
      <c r="C73" s="8" t="s">
        <v>1338</v>
      </c>
      <c r="D73" s="39" t="s">
        <v>789</v>
      </c>
      <c r="E73" s="73">
        <v>2025</v>
      </c>
      <c r="G73" s="45" t="s">
        <v>976</v>
      </c>
      <c r="H73" s="8" t="s">
        <v>1339</v>
      </c>
      <c r="I73" s="90" t="s">
        <v>1446</v>
      </c>
      <c r="P73" s="45" t="str">
        <f>IF(OR(E74&lt;2007, E74&gt;2025), "Error", "OK")</f>
        <v>OK</v>
      </c>
    </row>
    <row r="74" spans="1:16" ht="55.05" customHeight="1" x14ac:dyDescent="0.3">
      <c r="A74" s="79" t="s">
        <v>749</v>
      </c>
      <c r="B74" s="78" t="s">
        <v>1364</v>
      </c>
      <c r="C74" s="78" t="s">
        <v>1481</v>
      </c>
      <c r="D74" s="79" t="s">
        <v>1054</v>
      </c>
      <c r="E74" s="80">
        <v>2023</v>
      </c>
      <c r="F74" s="81"/>
      <c r="G74" s="87" t="s">
        <v>427</v>
      </c>
      <c r="H74" s="81" t="s">
        <v>1482</v>
      </c>
      <c r="I74" s="94" t="s">
        <v>1364</v>
      </c>
      <c r="P74" s="45" t="str">
        <f>IF(OR(E75&lt;2007, E75&gt;2025), "Error", "OK")</f>
        <v>OK</v>
      </c>
    </row>
    <row r="75" spans="1:16" ht="55.05" customHeight="1" x14ac:dyDescent="0.3">
      <c r="A75" s="39" t="s">
        <v>749</v>
      </c>
      <c r="B75" s="8" t="s">
        <v>1486</v>
      </c>
      <c r="C75" s="8" t="s">
        <v>1221</v>
      </c>
      <c r="D75" s="39" t="s">
        <v>760</v>
      </c>
      <c r="E75" s="73">
        <v>2023</v>
      </c>
      <c r="G75" s="45" t="s">
        <v>427</v>
      </c>
      <c r="H75" s="8" t="s">
        <v>1487</v>
      </c>
      <c r="I75" s="90" t="s">
        <v>1486</v>
      </c>
      <c r="P75" s="45" t="str">
        <f>IF(OR(E76&lt;2007, E76&gt;2025), "Error", "OK")</f>
        <v>OK</v>
      </c>
    </row>
    <row r="76" spans="1:16" ht="55.05" customHeight="1" x14ac:dyDescent="0.3">
      <c r="A76" s="39" t="s">
        <v>749</v>
      </c>
      <c r="B76" s="8" t="s">
        <v>1238</v>
      </c>
      <c r="C76" s="8" t="s">
        <v>1239</v>
      </c>
      <c r="D76" s="39" t="s">
        <v>760</v>
      </c>
      <c r="E76" s="73">
        <v>2023</v>
      </c>
      <c r="G76" s="45" t="s">
        <v>1159</v>
      </c>
      <c r="H76" s="8" t="s">
        <v>1488</v>
      </c>
      <c r="I76" s="90" t="s">
        <v>1238</v>
      </c>
      <c r="P76" s="45" t="str">
        <f>IF(OR(E77&lt;2007, E77&gt;2025), "Error", "OK")</f>
        <v>OK</v>
      </c>
    </row>
    <row r="77" spans="1:16" ht="55.05" customHeight="1" x14ac:dyDescent="0.3">
      <c r="A77" s="39" t="s">
        <v>749</v>
      </c>
      <c r="B77" s="8" t="s">
        <v>1319</v>
      </c>
      <c r="C77" s="8" t="s">
        <v>1422</v>
      </c>
      <c r="D77" s="39" t="s">
        <v>696</v>
      </c>
      <c r="E77" s="73">
        <v>2020</v>
      </c>
      <c r="G77" s="45" t="s">
        <v>1410</v>
      </c>
      <c r="H77" s="8" t="s">
        <v>1423</v>
      </c>
      <c r="I77" s="90" t="s">
        <v>1319</v>
      </c>
    </row>
    <row r="78" spans="1:16" ht="55.05" customHeight="1" x14ac:dyDescent="0.3">
      <c r="A78" s="39" t="s">
        <v>749</v>
      </c>
      <c r="B78" s="8" t="s">
        <v>1319</v>
      </c>
      <c r="C78" s="8" t="s">
        <v>1320</v>
      </c>
      <c r="D78" s="39" t="s">
        <v>1145</v>
      </c>
      <c r="E78" s="73">
        <v>2021</v>
      </c>
      <c r="G78" s="45" t="s">
        <v>427</v>
      </c>
      <c r="H78" s="8" t="s">
        <v>1321</v>
      </c>
      <c r="I78" s="90" t="s">
        <v>1319</v>
      </c>
    </row>
    <row r="79" spans="1:16" ht="55.05" customHeight="1" x14ac:dyDescent="0.3">
      <c r="A79" s="39" t="s">
        <v>749</v>
      </c>
      <c r="B79" s="8" t="s">
        <v>1496</v>
      </c>
      <c r="C79" s="8" t="s">
        <v>1497</v>
      </c>
      <c r="D79" s="39" t="s">
        <v>622</v>
      </c>
      <c r="E79" s="73">
        <v>2022</v>
      </c>
      <c r="F79" s="10" t="s">
        <v>599</v>
      </c>
      <c r="G79" s="45" t="s">
        <v>1410</v>
      </c>
      <c r="H79" s="8" t="s">
        <v>1498</v>
      </c>
      <c r="I79" s="90" t="s">
        <v>1496</v>
      </c>
      <c r="P79" s="45" t="str">
        <f>IF(OR(E80&lt;2007, E80&gt;2025), "Error", "OK")</f>
        <v>OK</v>
      </c>
    </row>
    <row r="80" spans="1:16" ht="55.05" customHeight="1" x14ac:dyDescent="0.3">
      <c r="A80" s="39" t="s">
        <v>749</v>
      </c>
      <c r="B80" s="8" t="s">
        <v>1612</v>
      </c>
      <c r="C80" s="8" t="s">
        <v>985</v>
      </c>
      <c r="D80" s="39" t="s">
        <v>789</v>
      </c>
      <c r="E80" s="73">
        <v>2021</v>
      </c>
      <c r="G80" s="45" t="s">
        <v>427</v>
      </c>
      <c r="H80" s="8" t="s">
        <v>1613</v>
      </c>
      <c r="I80" s="90" t="s">
        <v>1611</v>
      </c>
      <c r="P80" s="45" t="str">
        <f>IF(OR(E81&lt;2007, E81&gt;2025), "Error", "OK")</f>
        <v>OK</v>
      </c>
    </row>
    <row r="81" spans="1:16" ht="55.05" customHeight="1" x14ac:dyDescent="0.3">
      <c r="A81" s="39" t="s">
        <v>749</v>
      </c>
      <c r="B81" s="8" t="s">
        <v>1635</v>
      </c>
      <c r="C81" s="8" t="s">
        <v>1636</v>
      </c>
      <c r="D81" s="39" t="s">
        <v>1637</v>
      </c>
      <c r="E81" s="73">
        <v>2019</v>
      </c>
      <c r="G81" s="45" t="s">
        <v>427</v>
      </c>
      <c r="H81" s="8" t="s">
        <v>1654</v>
      </c>
      <c r="I81" s="90" t="s">
        <v>1634</v>
      </c>
      <c r="P81" s="45" t="str">
        <f>IF(OR(E82&lt;2007, E82&gt;2025), "Error", "OK")</f>
        <v>OK</v>
      </c>
    </row>
    <row r="82" spans="1:16" ht="55.05" customHeight="1" x14ac:dyDescent="0.3">
      <c r="A82" s="39" t="s">
        <v>749</v>
      </c>
      <c r="B82" s="8" t="s">
        <v>1463</v>
      </c>
      <c r="C82" s="8" t="s">
        <v>1464</v>
      </c>
      <c r="D82" s="39" t="s">
        <v>701</v>
      </c>
      <c r="E82" s="73">
        <v>2025</v>
      </c>
      <c r="G82" s="45" t="s">
        <v>1159</v>
      </c>
      <c r="H82" s="8" t="s">
        <v>1465</v>
      </c>
      <c r="I82" s="90" t="s">
        <v>1463</v>
      </c>
      <c r="P82" s="45" t="str">
        <f>IF(OR(E83&lt;2007, E83&gt;2025), "Error", "OK")</f>
        <v>OK</v>
      </c>
    </row>
    <row r="83" spans="1:16" ht="55.05" customHeight="1" x14ac:dyDescent="0.3">
      <c r="A83" s="39" t="s">
        <v>749</v>
      </c>
      <c r="B83" s="8" t="s">
        <v>1477</v>
      </c>
      <c r="C83" s="8" t="s">
        <v>1241</v>
      </c>
      <c r="D83" s="39" t="s">
        <v>651</v>
      </c>
      <c r="E83" s="73">
        <v>2019</v>
      </c>
      <c r="G83" s="45" t="s">
        <v>427</v>
      </c>
      <c r="H83" s="8" t="s">
        <v>1478</v>
      </c>
      <c r="I83" s="90" t="s">
        <v>1477</v>
      </c>
    </row>
    <row r="84" spans="1:16" ht="55.05" customHeight="1" x14ac:dyDescent="0.3">
      <c r="A84" s="39" t="s">
        <v>749</v>
      </c>
      <c r="B84" s="8" t="s">
        <v>1504</v>
      </c>
      <c r="C84" s="8" t="s">
        <v>634</v>
      </c>
      <c r="D84" s="39" t="s">
        <v>760</v>
      </c>
      <c r="E84" s="73">
        <v>2020</v>
      </c>
      <c r="F84" s="10" t="s">
        <v>900</v>
      </c>
      <c r="G84" s="45" t="s">
        <v>427</v>
      </c>
      <c r="H84" s="8" t="s">
        <v>1505</v>
      </c>
      <c r="I84" s="90" t="s">
        <v>1504</v>
      </c>
    </row>
    <row r="85" spans="1:16" ht="55.05" customHeight="1" x14ac:dyDescent="0.3">
      <c r="A85" s="39" t="s">
        <v>749</v>
      </c>
      <c r="B85" s="8" t="s">
        <v>1317</v>
      </c>
      <c r="C85" s="8" t="s">
        <v>1509</v>
      </c>
      <c r="D85" s="39" t="s">
        <v>789</v>
      </c>
      <c r="E85" s="73">
        <v>2019</v>
      </c>
      <c r="F85" s="10" t="s">
        <v>863</v>
      </c>
      <c r="G85" s="45" t="s">
        <v>1410</v>
      </c>
      <c r="H85" s="8" t="s">
        <v>1318</v>
      </c>
      <c r="I85" s="95" t="str">
        <f>HYPERLINK("https://eismd.eu/", "EISMD Website")</f>
        <v>EISMD Website</v>
      </c>
    </row>
    <row r="86" spans="1:16" ht="55.05" customHeight="1" x14ac:dyDescent="0.3">
      <c r="A86" s="39" t="s">
        <v>749</v>
      </c>
      <c r="B86" s="8" t="s">
        <v>1317</v>
      </c>
      <c r="C86" s="8" t="s">
        <v>1509</v>
      </c>
      <c r="D86" s="39" t="s">
        <v>789</v>
      </c>
      <c r="E86" s="73">
        <v>2019</v>
      </c>
      <c r="G86" s="45" t="s">
        <v>1410</v>
      </c>
      <c r="H86" s="8" t="s">
        <v>1510</v>
      </c>
      <c r="I86" s="90" t="s">
        <v>1511</v>
      </c>
    </row>
    <row r="87" spans="1:16" ht="55.05" customHeight="1" x14ac:dyDescent="0.3">
      <c r="A87" s="39" t="s">
        <v>749</v>
      </c>
      <c r="B87" s="8" t="s">
        <v>1323</v>
      </c>
      <c r="C87" s="8" t="s">
        <v>1324</v>
      </c>
      <c r="D87" s="39" t="s">
        <v>622</v>
      </c>
      <c r="E87" s="73">
        <v>2025</v>
      </c>
      <c r="F87" s="10" t="s">
        <v>630</v>
      </c>
      <c r="G87" s="45" t="s">
        <v>1410</v>
      </c>
      <c r="H87" s="8" t="s">
        <v>1325</v>
      </c>
      <c r="I87" s="90" t="s">
        <v>1323</v>
      </c>
      <c r="P87" s="45" t="str">
        <f>IF(OR(E88&lt;2007, E88&gt;2025), "Error", "OK")</f>
        <v>OK</v>
      </c>
    </row>
    <row r="88" spans="1:16" ht="55.05" customHeight="1" x14ac:dyDescent="0.3">
      <c r="A88" s="39" t="s">
        <v>749</v>
      </c>
      <c r="B88" s="8" t="s">
        <v>1483</v>
      </c>
      <c r="C88" s="8" t="s">
        <v>1484</v>
      </c>
      <c r="D88" s="39" t="s">
        <v>622</v>
      </c>
      <c r="E88" s="73">
        <v>2021</v>
      </c>
      <c r="F88" s="10" t="s">
        <v>902</v>
      </c>
      <c r="G88" s="45" t="s">
        <v>427</v>
      </c>
      <c r="H88" s="8" t="s">
        <v>1485</v>
      </c>
      <c r="I88" s="93" t="s">
        <v>1483</v>
      </c>
    </row>
    <row r="89" spans="1:16" ht="55.05" customHeight="1" x14ac:dyDescent="0.3">
      <c r="A89" s="39" t="s">
        <v>749</v>
      </c>
      <c r="B89" s="8" t="s">
        <v>864</v>
      </c>
      <c r="C89" s="8" t="s">
        <v>1015</v>
      </c>
      <c r="D89" s="39" t="s">
        <v>622</v>
      </c>
      <c r="E89" s="73">
        <v>2021</v>
      </c>
      <c r="G89" s="45" t="s">
        <v>427</v>
      </c>
      <c r="H89" s="8" t="s">
        <v>1017</v>
      </c>
      <c r="I89" s="8" t="s">
        <v>1016</v>
      </c>
    </row>
    <row r="90" spans="1:16" ht="55.05" customHeight="1" x14ac:dyDescent="0.3">
      <c r="A90" s="39" t="s">
        <v>749</v>
      </c>
      <c r="B90" s="8" t="s">
        <v>1191</v>
      </c>
      <c r="C90" s="8" t="s">
        <v>952</v>
      </c>
      <c r="D90" s="39" t="s">
        <v>760</v>
      </c>
      <c r="E90" s="73">
        <v>2020</v>
      </c>
      <c r="F90" s="10" t="s">
        <v>623</v>
      </c>
      <c r="G90" s="45" t="s">
        <v>1410</v>
      </c>
      <c r="H90" s="8" t="s">
        <v>1186</v>
      </c>
      <c r="I90" s="8" t="s">
        <v>1192</v>
      </c>
    </row>
    <row r="91" spans="1:16" ht="55.05" customHeight="1" x14ac:dyDescent="0.3">
      <c r="A91" s="39" t="s">
        <v>749</v>
      </c>
      <c r="B91" s="8" t="s">
        <v>1520</v>
      </c>
      <c r="C91" s="8" t="s">
        <v>715</v>
      </c>
      <c r="D91" s="39" t="s">
        <v>701</v>
      </c>
      <c r="E91" s="73">
        <v>2025</v>
      </c>
      <c r="G91" s="45" t="s">
        <v>976</v>
      </c>
      <c r="H91" s="8" t="s">
        <v>1521</v>
      </c>
      <c r="I91" s="90" t="s">
        <v>1520</v>
      </c>
    </row>
    <row r="92" spans="1:16" ht="55.05" customHeight="1" x14ac:dyDescent="0.3">
      <c r="A92" s="39" t="s">
        <v>749</v>
      </c>
      <c r="B92" s="8" t="s">
        <v>1517</v>
      </c>
      <c r="C92" s="8" t="s">
        <v>1268</v>
      </c>
      <c r="D92" s="39" t="s">
        <v>436</v>
      </c>
      <c r="E92" s="73">
        <v>2024</v>
      </c>
      <c r="F92" s="10" t="s">
        <v>877</v>
      </c>
      <c r="G92" s="45" t="s">
        <v>976</v>
      </c>
      <c r="H92" s="8" t="s">
        <v>1518</v>
      </c>
      <c r="I92" s="90" t="s">
        <v>1519</v>
      </c>
    </row>
    <row r="93" spans="1:16" ht="55.05" customHeight="1" x14ac:dyDescent="0.3">
      <c r="A93" s="39" t="s">
        <v>749</v>
      </c>
      <c r="B93" s="8" t="s">
        <v>1519</v>
      </c>
      <c r="C93" s="8" t="s">
        <v>1268</v>
      </c>
      <c r="D93" s="39" t="s">
        <v>436</v>
      </c>
      <c r="E93" s="73">
        <v>2024</v>
      </c>
      <c r="G93" s="45" t="s">
        <v>427</v>
      </c>
      <c r="H93" s="8" t="s">
        <v>1548</v>
      </c>
      <c r="I93" s="90" t="s">
        <v>1517</v>
      </c>
    </row>
    <row r="94" spans="1:16" ht="55.05" customHeight="1" x14ac:dyDescent="0.3">
      <c r="A94" s="39" t="s">
        <v>749</v>
      </c>
      <c r="B94" s="8" t="s">
        <v>1514</v>
      </c>
      <c r="C94" s="8" t="s">
        <v>1341</v>
      </c>
      <c r="D94" s="39" t="s">
        <v>690</v>
      </c>
      <c r="E94" s="73">
        <v>2018</v>
      </c>
      <c r="G94" s="45" t="s">
        <v>427</v>
      </c>
      <c r="H94" s="8" t="s">
        <v>1344</v>
      </c>
      <c r="I94" s="95" t="s">
        <v>1342</v>
      </c>
      <c r="P94" s="45" t="str">
        <f>IF(OR(E95&lt;2007, E95&gt;2025), "Error", "OK")</f>
        <v>OK</v>
      </c>
    </row>
    <row r="95" spans="1:16" ht="55.05" customHeight="1" x14ac:dyDescent="0.3">
      <c r="A95" s="39" t="s">
        <v>749</v>
      </c>
      <c r="B95" s="8" t="s">
        <v>1614</v>
      </c>
      <c r="C95" s="8" t="s">
        <v>1615</v>
      </c>
      <c r="D95" s="39" t="s">
        <v>661</v>
      </c>
      <c r="E95" s="73">
        <v>2021</v>
      </c>
      <c r="G95" s="45" t="s">
        <v>427</v>
      </c>
      <c r="H95" s="8" t="s">
        <v>1613</v>
      </c>
      <c r="I95" s="90" t="s">
        <v>1616</v>
      </c>
    </row>
    <row r="96" spans="1:16" ht="55.05" customHeight="1" x14ac:dyDescent="0.3">
      <c r="A96" s="39" t="s">
        <v>749</v>
      </c>
      <c r="B96" s="8" t="s">
        <v>986</v>
      </c>
      <c r="C96" s="8" t="s">
        <v>985</v>
      </c>
      <c r="D96" s="39" t="s">
        <v>661</v>
      </c>
      <c r="E96" s="73">
        <v>2018</v>
      </c>
      <c r="G96" s="45" t="s">
        <v>427</v>
      </c>
      <c r="H96" s="8" t="s">
        <v>1327</v>
      </c>
      <c r="I96" s="90" t="s">
        <v>986</v>
      </c>
    </row>
    <row r="97" spans="1:16" ht="55.05" customHeight="1" x14ac:dyDescent="0.3">
      <c r="A97" s="39" t="s">
        <v>749</v>
      </c>
      <c r="B97" s="8" t="s">
        <v>986</v>
      </c>
      <c r="C97" s="8" t="s">
        <v>987</v>
      </c>
      <c r="D97" s="39" t="s">
        <v>661</v>
      </c>
      <c r="E97" s="73">
        <v>2019</v>
      </c>
      <c r="G97" s="45" t="s">
        <v>427</v>
      </c>
      <c r="H97" s="8" t="s">
        <v>1537</v>
      </c>
      <c r="I97" s="90" t="s">
        <v>1538</v>
      </c>
    </row>
    <row r="98" spans="1:16" ht="55.05" customHeight="1" x14ac:dyDescent="0.3">
      <c r="A98" s="39" t="s">
        <v>749</v>
      </c>
      <c r="B98" s="8" t="s">
        <v>1540</v>
      </c>
      <c r="C98" s="8" t="s">
        <v>1539</v>
      </c>
      <c r="D98" s="39" t="s">
        <v>667</v>
      </c>
      <c r="E98" s="73">
        <v>2017</v>
      </c>
      <c r="G98" s="45" t="s">
        <v>427</v>
      </c>
      <c r="H98" s="8" t="s">
        <v>1541</v>
      </c>
      <c r="I98" s="90" t="s">
        <v>1542</v>
      </c>
    </row>
    <row r="99" spans="1:16" ht="55.05" customHeight="1" x14ac:dyDescent="0.3">
      <c r="A99" s="39" t="s">
        <v>749</v>
      </c>
      <c r="B99" s="8" t="s">
        <v>575</v>
      </c>
      <c r="C99" s="8" t="s">
        <v>1268</v>
      </c>
      <c r="D99" s="39" t="s">
        <v>661</v>
      </c>
      <c r="E99" s="73">
        <v>2019</v>
      </c>
      <c r="F99" s="10" t="s">
        <v>897</v>
      </c>
      <c r="G99" s="45" t="s">
        <v>427</v>
      </c>
      <c r="H99" s="8" t="s">
        <v>1546</v>
      </c>
      <c r="I99" s="93" t="s">
        <v>1547</v>
      </c>
    </row>
    <row r="100" spans="1:16" ht="55.05" customHeight="1" x14ac:dyDescent="0.3">
      <c r="A100" s="39" t="s">
        <v>749</v>
      </c>
      <c r="B100" s="8" t="s">
        <v>1254</v>
      </c>
      <c r="C100" s="8" t="s">
        <v>852</v>
      </c>
      <c r="D100" s="39" t="s">
        <v>789</v>
      </c>
      <c r="E100" s="73">
        <v>2016</v>
      </c>
      <c r="F100" s="10" t="s">
        <v>898</v>
      </c>
      <c r="G100" s="45" t="s">
        <v>427</v>
      </c>
      <c r="H100" s="8" t="s">
        <v>1550</v>
      </c>
      <c r="I100" s="95" t="s">
        <v>1551</v>
      </c>
    </row>
    <row r="101" spans="1:16" ht="55.05" customHeight="1" x14ac:dyDescent="0.3">
      <c r="A101" s="39" t="s">
        <v>749</v>
      </c>
      <c r="B101" s="8" t="s">
        <v>1254</v>
      </c>
      <c r="C101" s="8" t="s">
        <v>852</v>
      </c>
      <c r="D101" s="39" t="s">
        <v>436</v>
      </c>
      <c r="E101" s="73">
        <v>2024</v>
      </c>
      <c r="G101" s="45" t="s">
        <v>427</v>
      </c>
      <c r="H101" s="8" t="s">
        <v>1552</v>
      </c>
      <c r="I101" s="90" t="s">
        <v>1553</v>
      </c>
    </row>
    <row r="102" spans="1:16" ht="55.05" customHeight="1" x14ac:dyDescent="0.3">
      <c r="A102" s="39" t="s">
        <v>749</v>
      </c>
      <c r="B102" s="8" t="s">
        <v>1554</v>
      </c>
      <c r="C102" s="8" t="s">
        <v>1555</v>
      </c>
      <c r="D102" s="39" t="s">
        <v>760</v>
      </c>
      <c r="E102" s="73">
        <v>2025</v>
      </c>
      <c r="G102" s="45" t="s">
        <v>1410</v>
      </c>
      <c r="H102" s="8" t="s">
        <v>1556</v>
      </c>
      <c r="I102" s="90" t="s">
        <v>1048</v>
      </c>
      <c r="P102" s="45" t="str">
        <f>IF(OR(E103&lt;2007, E103&gt;2025), "Error", "OK")</f>
        <v>OK</v>
      </c>
    </row>
    <row r="103" spans="1:16" ht="55.05" customHeight="1" x14ac:dyDescent="0.3">
      <c r="A103" s="39" t="s">
        <v>749</v>
      </c>
      <c r="B103" s="8" t="s">
        <v>1457</v>
      </c>
      <c r="C103" s="8" t="s">
        <v>1458</v>
      </c>
      <c r="D103" s="39" t="s">
        <v>667</v>
      </c>
      <c r="E103" s="73">
        <v>2020</v>
      </c>
      <c r="G103" s="45" t="s">
        <v>427</v>
      </c>
      <c r="H103" s="8" t="s">
        <v>1459</v>
      </c>
      <c r="I103" s="90" t="s">
        <v>1457</v>
      </c>
    </row>
    <row r="104" spans="1:16" ht="55.05" customHeight="1" x14ac:dyDescent="0.3">
      <c r="A104" s="39" t="s">
        <v>749</v>
      </c>
      <c r="B104" s="8" t="s">
        <v>1560</v>
      </c>
      <c r="C104" s="8" t="s">
        <v>1557</v>
      </c>
      <c r="D104" s="39" t="s">
        <v>667</v>
      </c>
      <c r="E104" s="73">
        <v>2023</v>
      </c>
      <c r="F104" s="10" t="s">
        <v>899</v>
      </c>
      <c r="G104" s="45" t="s">
        <v>1159</v>
      </c>
      <c r="H104" s="8" t="s">
        <v>1558</v>
      </c>
      <c r="I104" s="90" t="s">
        <v>1559</v>
      </c>
    </row>
    <row r="105" spans="1:16" ht="55.05" customHeight="1" x14ac:dyDescent="0.3">
      <c r="A105" s="39" t="s">
        <v>749</v>
      </c>
      <c r="B105" s="8" t="s">
        <v>615</v>
      </c>
      <c r="C105" s="8" t="s">
        <v>616</v>
      </c>
      <c r="D105" s="39" t="s">
        <v>760</v>
      </c>
      <c r="E105" s="73">
        <v>2018</v>
      </c>
      <c r="F105" s="10" t="s">
        <v>865</v>
      </c>
      <c r="G105" s="45" t="s">
        <v>1159</v>
      </c>
      <c r="H105" s="8" t="s">
        <v>1322</v>
      </c>
      <c r="I105" s="90" t="s">
        <v>615</v>
      </c>
    </row>
    <row r="106" spans="1:16" ht="55.05" customHeight="1" x14ac:dyDescent="0.3">
      <c r="A106" s="39" t="s">
        <v>749</v>
      </c>
      <c r="B106" s="8" t="s">
        <v>1561</v>
      </c>
      <c r="C106" s="8" t="s">
        <v>1562</v>
      </c>
      <c r="D106" s="39" t="s">
        <v>685</v>
      </c>
      <c r="E106" s="73">
        <v>2024</v>
      </c>
      <c r="G106" s="45" t="s">
        <v>427</v>
      </c>
      <c r="H106" s="8" t="s">
        <v>1563</v>
      </c>
      <c r="I106" s="90" t="s">
        <v>1564</v>
      </c>
    </row>
    <row r="107" spans="1:16" ht="55.05" customHeight="1" x14ac:dyDescent="0.3">
      <c r="A107" s="39" t="s">
        <v>749</v>
      </c>
      <c r="B107" s="8" t="s">
        <v>1515</v>
      </c>
      <c r="C107" s="8" t="s">
        <v>1014</v>
      </c>
      <c r="D107" s="39" t="s">
        <v>849</v>
      </c>
      <c r="E107" s="73">
        <v>2020</v>
      </c>
      <c r="F107" s="10" t="s">
        <v>625</v>
      </c>
      <c r="G107" s="45" t="s">
        <v>427</v>
      </c>
      <c r="H107" s="1" t="s">
        <v>1516</v>
      </c>
      <c r="I107" s="90" t="s">
        <v>1515</v>
      </c>
    </row>
    <row r="108" spans="1:16" ht="55.05" customHeight="1" x14ac:dyDescent="0.3">
      <c r="A108" s="39" t="s">
        <v>749</v>
      </c>
      <c r="B108" s="8" t="s">
        <v>981</v>
      </c>
      <c r="C108" s="8" t="s">
        <v>1569</v>
      </c>
      <c r="D108" s="39" t="s">
        <v>760</v>
      </c>
      <c r="E108" s="73">
        <v>2011</v>
      </c>
      <c r="G108" s="45" t="s">
        <v>976</v>
      </c>
      <c r="H108" s="8" t="s">
        <v>1570</v>
      </c>
      <c r="I108" s="90" t="s">
        <v>981</v>
      </c>
    </row>
    <row r="109" spans="1:16" ht="55.05" customHeight="1" x14ac:dyDescent="0.3">
      <c r="A109" s="39" t="s">
        <v>749</v>
      </c>
      <c r="B109" s="8" t="s">
        <v>1565</v>
      </c>
      <c r="C109" s="8" t="s">
        <v>1566</v>
      </c>
      <c r="D109" s="39" t="s">
        <v>621</v>
      </c>
      <c r="E109" s="73">
        <v>2024</v>
      </c>
      <c r="G109" s="45" t="s">
        <v>427</v>
      </c>
      <c r="H109" s="8" t="s">
        <v>1567</v>
      </c>
      <c r="I109" s="90" t="s">
        <v>1568</v>
      </c>
    </row>
    <row r="110" spans="1:16" ht="55.05" customHeight="1" x14ac:dyDescent="0.3">
      <c r="A110" s="39" t="s">
        <v>749</v>
      </c>
      <c r="B110" s="8" t="s">
        <v>1232</v>
      </c>
      <c r="C110" s="8" t="s">
        <v>1233</v>
      </c>
      <c r="D110" s="39" t="s">
        <v>993</v>
      </c>
      <c r="E110" s="73">
        <v>2024</v>
      </c>
      <c r="G110" s="45" t="s">
        <v>976</v>
      </c>
      <c r="H110" s="8" t="s">
        <v>1575</v>
      </c>
      <c r="I110" s="90" t="s">
        <v>1576</v>
      </c>
    </row>
    <row r="111" spans="1:16" ht="55.05" customHeight="1" x14ac:dyDescent="0.3">
      <c r="A111" s="39" t="s">
        <v>749</v>
      </c>
      <c r="B111" s="8" t="s">
        <v>1049</v>
      </c>
      <c r="C111" s="8" t="s">
        <v>1577</v>
      </c>
      <c r="D111" s="39" t="s">
        <v>667</v>
      </c>
      <c r="E111" s="73">
        <v>2023</v>
      </c>
      <c r="G111" s="45" t="s">
        <v>1410</v>
      </c>
      <c r="H111" s="8" t="s">
        <v>1578</v>
      </c>
      <c r="I111" s="90" t="s">
        <v>1579</v>
      </c>
    </row>
    <row r="112" spans="1:16" ht="55.05" customHeight="1" x14ac:dyDescent="0.3">
      <c r="A112" s="39" t="s">
        <v>749</v>
      </c>
      <c r="B112" s="8" t="s">
        <v>1262</v>
      </c>
      <c r="C112" s="8" t="s">
        <v>1263</v>
      </c>
      <c r="D112" s="39" t="s">
        <v>674</v>
      </c>
      <c r="E112" s="73">
        <v>2021</v>
      </c>
      <c r="G112" s="45" t="s">
        <v>427</v>
      </c>
      <c r="H112" s="8" t="s">
        <v>1264</v>
      </c>
      <c r="I112" s="90" t="s">
        <v>1580</v>
      </c>
    </row>
    <row r="113" spans="1:16" ht="55.05" customHeight="1" x14ac:dyDescent="0.3">
      <c r="A113" s="39" t="s">
        <v>749</v>
      </c>
      <c r="B113" s="8" t="s">
        <v>605</v>
      </c>
      <c r="C113" s="8" t="s">
        <v>1088</v>
      </c>
      <c r="D113" s="39" t="s">
        <v>674</v>
      </c>
      <c r="E113" s="73">
        <v>2023</v>
      </c>
      <c r="F113" s="9"/>
      <c r="G113" s="45" t="s">
        <v>22</v>
      </c>
      <c r="H113" s="8" t="s">
        <v>1087</v>
      </c>
      <c r="I113" s="90" t="s">
        <v>1581</v>
      </c>
      <c r="P113" s="45" t="str">
        <f>IF(OR(E114&lt;2007, E114&gt;2025), "Error", "OK")</f>
        <v>OK</v>
      </c>
    </row>
    <row r="114" spans="1:16" ht="55.05" customHeight="1" x14ac:dyDescent="0.3">
      <c r="A114" s="39" t="s">
        <v>749</v>
      </c>
      <c r="B114" s="8" t="s">
        <v>1424</v>
      </c>
      <c r="C114" s="8" t="s">
        <v>1425</v>
      </c>
      <c r="D114" s="39" t="s">
        <v>651</v>
      </c>
      <c r="E114" s="73">
        <v>2024</v>
      </c>
      <c r="F114" s="10" t="s">
        <v>602</v>
      </c>
      <c r="G114" s="45" t="s">
        <v>1410</v>
      </c>
      <c r="H114" s="8" t="s">
        <v>1426</v>
      </c>
      <c r="I114" s="90" t="s">
        <v>1427</v>
      </c>
    </row>
    <row r="115" spans="1:16" ht="55.05" customHeight="1" x14ac:dyDescent="0.3">
      <c r="A115" s="39" t="s">
        <v>749</v>
      </c>
      <c r="B115" s="8" t="s">
        <v>1725</v>
      </c>
      <c r="C115" s="8" t="s">
        <v>766</v>
      </c>
      <c r="D115" s="39" t="s">
        <v>760</v>
      </c>
      <c r="E115" s="73">
        <v>2023</v>
      </c>
      <c r="G115" s="45" t="s">
        <v>1159</v>
      </c>
      <c r="H115" s="8" t="s">
        <v>982</v>
      </c>
      <c r="I115" s="90" t="s">
        <v>1424</v>
      </c>
    </row>
    <row r="116" spans="1:16" ht="55.05" customHeight="1" x14ac:dyDescent="0.3">
      <c r="A116" s="39" t="s">
        <v>749</v>
      </c>
      <c r="B116" s="8" t="s">
        <v>580</v>
      </c>
      <c r="C116" s="8" t="s">
        <v>766</v>
      </c>
      <c r="D116" s="39" t="s">
        <v>760</v>
      </c>
      <c r="E116" s="73">
        <v>2021</v>
      </c>
      <c r="G116" s="45" t="s">
        <v>604</v>
      </c>
      <c r="H116" s="8" t="s">
        <v>1184</v>
      </c>
      <c r="I116" s="90" t="s">
        <v>1726</v>
      </c>
    </row>
    <row r="117" spans="1:16" ht="55.05" customHeight="1" x14ac:dyDescent="0.3">
      <c r="A117" s="39" t="s">
        <v>749</v>
      </c>
      <c r="B117" s="8" t="s">
        <v>1225</v>
      </c>
      <c r="C117" s="8" t="s">
        <v>1222</v>
      </c>
      <c r="D117" s="39" t="s">
        <v>622</v>
      </c>
      <c r="E117" s="73">
        <v>2023</v>
      </c>
      <c r="G117" s="45" t="s">
        <v>427</v>
      </c>
      <c r="H117" s="8" t="s">
        <v>1224</v>
      </c>
      <c r="I117" s="90" t="s">
        <v>1727</v>
      </c>
    </row>
    <row r="118" spans="1:16" ht="55.05" customHeight="1" x14ac:dyDescent="0.3">
      <c r="A118" s="39" t="s">
        <v>749</v>
      </c>
      <c r="B118" s="8" t="s">
        <v>1730</v>
      </c>
      <c r="C118" s="8" t="s">
        <v>1731</v>
      </c>
      <c r="D118" s="39" t="s">
        <v>1732</v>
      </c>
      <c r="E118" s="73">
        <v>2024</v>
      </c>
      <c r="F118" s="10" t="s">
        <v>594</v>
      </c>
      <c r="G118" s="45" t="s">
        <v>1410</v>
      </c>
      <c r="H118" s="8" t="s">
        <v>1733</v>
      </c>
      <c r="I118" s="96" t="s">
        <v>1734</v>
      </c>
    </row>
    <row r="119" spans="1:16" ht="55.05" customHeight="1" x14ac:dyDescent="0.3">
      <c r="A119" s="39" t="s">
        <v>749</v>
      </c>
      <c r="B119" s="8" t="s">
        <v>1735</v>
      </c>
      <c r="C119" s="8" t="s">
        <v>1736</v>
      </c>
      <c r="D119" s="39" t="s">
        <v>1737</v>
      </c>
      <c r="E119" s="73">
        <v>2023</v>
      </c>
      <c r="G119" s="45" t="s">
        <v>1410</v>
      </c>
      <c r="H119" s="8" t="s">
        <v>1124</v>
      </c>
      <c r="I119" s="90" t="s">
        <v>1738</v>
      </c>
    </row>
    <row r="120" spans="1:16" ht="55.05" customHeight="1" x14ac:dyDescent="0.3">
      <c r="A120" s="39" t="s">
        <v>749</v>
      </c>
      <c r="B120" s="8" t="s">
        <v>1728</v>
      </c>
      <c r="C120" s="8" t="s">
        <v>1729</v>
      </c>
      <c r="D120" s="39" t="s">
        <v>1622</v>
      </c>
      <c r="E120" s="73">
        <v>2023</v>
      </c>
      <c r="G120" s="45" t="s">
        <v>1410</v>
      </c>
      <c r="H120" s="8" t="s">
        <v>1124</v>
      </c>
      <c r="I120" s="90" t="s">
        <v>1739</v>
      </c>
    </row>
    <row r="121" spans="1:16" ht="55.05" customHeight="1" x14ac:dyDescent="0.3">
      <c r="A121" s="39" t="s">
        <v>749</v>
      </c>
      <c r="B121" s="8" t="s">
        <v>1740</v>
      </c>
      <c r="C121" s="8" t="s">
        <v>1125</v>
      </c>
      <c r="D121" s="39" t="s">
        <v>853</v>
      </c>
      <c r="E121" s="73">
        <v>2023</v>
      </c>
      <c r="G121" s="45" t="s">
        <v>427</v>
      </c>
      <c r="H121" s="8" t="s">
        <v>1126</v>
      </c>
      <c r="I121" s="90" t="s">
        <v>1741</v>
      </c>
    </row>
    <row r="122" spans="1:16" ht="55.05" customHeight="1" x14ac:dyDescent="0.3">
      <c r="A122" s="39" t="s">
        <v>749</v>
      </c>
      <c r="B122" s="8" t="s">
        <v>677</v>
      </c>
      <c r="C122" s="8" t="s">
        <v>677</v>
      </c>
      <c r="D122" s="39" t="s">
        <v>621</v>
      </c>
      <c r="E122" s="73">
        <v>2024</v>
      </c>
      <c r="F122" s="10" t="s">
        <v>885</v>
      </c>
      <c r="G122" s="91" t="s">
        <v>1410</v>
      </c>
      <c r="H122" s="8" t="s">
        <v>1131</v>
      </c>
      <c r="I122" s="90" t="s">
        <v>677</v>
      </c>
    </row>
    <row r="123" spans="1:16" ht="55.05" customHeight="1" x14ac:dyDescent="0.3">
      <c r="A123" s="39" t="s">
        <v>749</v>
      </c>
      <c r="B123" s="8" t="s">
        <v>1301</v>
      </c>
      <c r="C123" s="8" t="s">
        <v>1302</v>
      </c>
      <c r="D123" s="39" t="s">
        <v>621</v>
      </c>
      <c r="E123" s="73">
        <v>2019</v>
      </c>
      <c r="F123" s="10" t="s">
        <v>646</v>
      </c>
      <c r="G123" s="45" t="s">
        <v>427</v>
      </c>
      <c r="H123" s="8" t="s">
        <v>1303</v>
      </c>
      <c r="I123" s="90" t="s">
        <v>1301</v>
      </c>
    </row>
    <row r="124" spans="1:16" ht="55.05" customHeight="1" x14ac:dyDescent="0.3">
      <c r="A124" s="39" t="s">
        <v>749</v>
      </c>
      <c r="B124" s="8" t="s">
        <v>592</v>
      </c>
      <c r="C124" s="8" t="s">
        <v>1127</v>
      </c>
      <c r="D124" s="39" t="s">
        <v>853</v>
      </c>
      <c r="E124" s="73">
        <v>2024</v>
      </c>
      <c r="F124" s="10" t="s">
        <v>595</v>
      </c>
      <c r="G124" s="45" t="s">
        <v>1573</v>
      </c>
      <c r="H124" s="8" t="s">
        <v>1128</v>
      </c>
      <c r="I124" s="90" t="s">
        <v>592</v>
      </c>
    </row>
    <row r="125" spans="1:16" ht="55.05" customHeight="1" x14ac:dyDescent="0.3">
      <c r="A125" s="39" t="s">
        <v>749</v>
      </c>
      <c r="B125" s="10" t="s">
        <v>1742</v>
      </c>
      <c r="C125" s="8" t="s">
        <v>1743</v>
      </c>
      <c r="D125" s="39" t="s">
        <v>760</v>
      </c>
      <c r="E125" s="73">
        <v>2024</v>
      </c>
      <c r="G125" s="45" t="s">
        <v>1573</v>
      </c>
      <c r="H125" s="8" t="s">
        <v>1744</v>
      </c>
      <c r="I125" s="90" t="s">
        <v>1745</v>
      </c>
    </row>
    <row r="126" spans="1:16" ht="55.05" customHeight="1" x14ac:dyDescent="0.3">
      <c r="A126" s="39" t="s">
        <v>749</v>
      </c>
      <c r="B126" s="8" t="s">
        <v>1747</v>
      </c>
      <c r="C126" s="8" t="s">
        <v>1746</v>
      </c>
      <c r="D126" s="39" t="s">
        <v>760</v>
      </c>
      <c r="E126" s="73">
        <v>2023</v>
      </c>
      <c r="G126" s="45" t="s">
        <v>1573</v>
      </c>
      <c r="H126" s="8" t="s">
        <v>1744</v>
      </c>
      <c r="I126" s="90" t="s">
        <v>1747</v>
      </c>
    </row>
    <row r="127" spans="1:16" ht="55.05" customHeight="1" x14ac:dyDescent="0.3">
      <c r="A127" s="39" t="s">
        <v>749</v>
      </c>
      <c r="B127" s="8" t="s">
        <v>868</v>
      </c>
      <c r="C127" s="8" t="s">
        <v>802</v>
      </c>
      <c r="D127" s="39" t="s">
        <v>701</v>
      </c>
      <c r="E127" s="73">
        <v>2018</v>
      </c>
      <c r="G127" s="45" t="s">
        <v>1410</v>
      </c>
      <c r="H127" s="8" t="s">
        <v>1751</v>
      </c>
      <c r="I127" s="90" t="s">
        <v>1748</v>
      </c>
    </row>
    <row r="128" spans="1:16" ht="55.05" customHeight="1" x14ac:dyDescent="0.3">
      <c r="A128" s="39" t="s">
        <v>749</v>
      </c>
      <c r="B128" s="8" t="s">
        <v>1755</v>
      </c>
      <c r="C128" s="8" t="s">
        <v>1753</v>
      </c>
      <c r="D128" s="39" t="s">
        <v>760</v>
      </c>
      <c r="E128" s="73">
        <v>2020</v>
      </c>
      <c r="G128" s="45" t="s">
        <v>1159</v>
      </c>
      <c r="H128" s="8" t="s">
        <v>1754</v>
      </c>
      <c r="I128" s="90" t="s">
        <v>1755</v>
      </c>
    </row>
    <row r="129" spans="1:16" ht="55.05" customHeight="1" x14ac:dyDescent="0.3">
      <c r="A129" s="39" t="s">
        <v>749</v>
      </c>
      <c r="B129" s="8" t="s">
        <v>1752</v>
      </c>
      <c r="C129" s="8" t="s">
        <v>1753</v>
      </c>
      <c r="D129" s="39" t="s">
        <v>760</v>
      </c>
      <c r="E129" s="73">
        <v>2023</v>
      </c>
      <c r="G129" s="45" t="s">
        <v>604</v>
      </c>
      <c r="H129" s="8" t="s">
        <v>1757</v>
      </c>
      <c r="I129" s="90" t="s">
        <v>1756</v>
      </c>
    </row>
    <row r="130" spans="1:16" ht="55.05" customHeight="1" x14ac:dyDescent="0.3">
      <c r="A130" s="39" t="s">
        <v>749</v>
      </c>
      <c r="B130" s="8" t="s">
        <v>578</v>
      </c>
      <c r="C130" s="8" t="s">
        <v>617</v>
      </c>
      <c r="D130" s="39" t="s">
        <v>760</v>
      </c>
      <c r="E130" s="73">
        <v>2018</v>
      </c>
      <c r="F130" s="10" t="s">
        <v>878</v>
      </c>
      <c r="G130" s="45" t="s">
        <v>604</v>
      </c>
      <c r="H130" s="8" t="s">
        <v>1758</v>
      </c>
      <c r="I130" s="90" t="s">
        <v>1762</v>
      </c>
    </row>
    <row r="131" spans="1:16" ht="55.05" customHeight="1" x14ac:dyDescent="0.3">
      <c r="A131" s="39" t="s">
        <v>749</v>
      </c>
      <c r="B131" s="8" t="s">
        <v>1759</v>
      </c>
      <c r="C131" s="8" t="s">
        <v>617</v>
      </c>
      <c r="D131" s="39" t="s">
        <v>760</v>
      </c>
      <c r="E131" s="73">
        <v>2023</v>
      </c>
      <c r="G131" s="45" t="s">
        <v>604</v>
      </c>
      <c r="H131" s="8" t="s">
        <v>1760</v>
      </c>
      <c r="I131" s="90" t="s">
        <v>1761</v>
      </c>
    </row>
    <row r="132" spans="1:16" ht="55.05" customHeight="1" x14ac:dyDescent="0.3">
      <c r="A132" s="39" t="s">
        <v>749</v>
      </c>
      <c r="B132" s="8" t="s">
        <v>1749</v>
      </c>
      <c r="C132" s="8" t="s">
        <v>1330</v>
      </c>
      <c r="D132" s="39" t="s">
        <v>620</v>
      </c>
      <c r="E132" s="73">
        <v>2024</v>
      </c>
      <c r="F132" s="10" t="s">
        <v>647</v>
      </c>
      <c r="G132" s="45" t="s">
        <v>427</v>
      </c>
      <c r="H132" s="8" t="s">
        <v>1331</v>
      </c>
      <c r="I132" s="90" t="s">
        <v>1750</v>
      </c>
    </row>
    <row r="133" spans="1:16" ht="55.05" customHeight="1" x14ac:dyDescent="0.3">
      <c r="A133" s="39" t="s">
        <v>749</v>
      </c>
      <c r="B133" s="8" t="s">
        <v>1499</v>
      </c>
      <c r="C133" s="8" t="s">
        <v>993</v>
      </c>
      <c r="D133" s="39" t="s">
        <v>436</v>
      </c>
      <c r="E133" s="73">
        <v>2021</v>
      </c>
      <c r="F133" s="10" t="s">
        <v>901</v>
      </c>
      <c r="G133" s="45" t="s">
        <v>427</v>
      </c>
      <c r="H133" s="8" t="s">
        <v>1500</v>
      </c>
      <c r="I133" s="90" t="s">
        <v>1763</v>
      </c>
      <c r="P133" s="45" t="str">
        <f>IF(OR(E134&lt;2007, E134&gt;2025), "Error", "OK")</f>
        <v>OK</v>
      </c>
    </row>
    <row r="134" spans="1:16" ht="55.05" customHeight="1" x14ac:dyDescent="0.3">
      <c r="A134" s="39" t="s">
        <v>749</v>
      </c>
      <c r="B134" s="8" t="s">
        <v>886</v>
      </c>
      <c r="C134" s="8" t="s">
        <v>1659</v>
      </c>
      <c r="D134" s="39" t="s">
        <v>693</v>
      </c>
      <c r="E134" s="73">
        <v>2019</v>
      </c>
      <c r="G134" s="45" t="s">
        <v>427</v>
      </c>
      <c r="H134" s="8" t="s">
        <v>1660</v>
      </c>
      <c r="I134" s="90" t="s">
        <v>1643</v>
      </c>
      <c r="P134" s="45" t="str">
        <f>IF(OR(E135&lt;2007, E135&gt;2025), "Error", "OK")</f>
        <v>OK</v>
      </c>
    </row>
    <row r="135" spans="1:16" ht="55.05" customHeight="1" x14ac:dyDescent="0.3">
      <c r="A135" s="39" t="s">
        <v>749</v>
      </c>
      <c r="B135" s="8" t="s">
        <v>886</v>
      </c>
      <c r="C135" s="8" t="s">
        <v>1661</v>
      </c>
      <c r="D135" s="39" t="s">
        <v>701</v>
      </c>
      <c r="E135" s="73">
        <v>2021</v>
      </c>
      <c r="G135" s="45" t="s">
        <v>427</v>
      </c>
      <c r="H135" s="8" t="s">
        <v>1662</v>
      </c>
      <c r="I135" s="90" t="s">
        <v>1663</v>
      </c>
    </row>
    <row r="136" spans="1:16" ht="55.05" customHeight="1" x14ac:dyDescent="0.3">
      <c r="A136" s="39" t="s">
        <v>749</v>
      </c>
      <c r="B136" s="8" t="s">
        <v>886</v>
      </c>
      <c r="C136" s="8" t="s">
        <v>1165</v>
      </c>
      <c r="D136" s="39" t="s">
        <v>701</v>
      </c>
      <c r="E136" s="73">
        <v>2021</v>
      </c>
      <c r="F136" s="10" t="s">
        <v>887</v>
      </c>
      <c r="G136" s="45" t="s">
        <v>427</v>
      </c>
      <c r="H136" s="8" t="s">
        <v>1166</v>
      </c>
      <c r="I136" s="90" t="s">
        <v>886</v>
      </c>
      <c r="P136" s="45" t="str">
        <f>IF(OR(E137&lt;2007, E137&gt;2025), "Error", "OK")</f>
        <v>OK</v>
      </c>
    </row>
    <row r="137" spans="1:16" ht="55.05" customHeight="1" x14ac:dyDescent="0.3">
      <c r="A137" s="39" t="s">
        <v>749</v>
      </c>
      <c r="B137" s="8" t="s">
        <v>1666</v>
      </c>
      <c r="C137" s="8" t="s">
        <v>1667</v>
      </c>
      <c r="D137" s="39" t="s">
        <v>760</v>
      </c>
      <c r="E137" s="73">
        <v>2023</v>
      </c>
      <c r="G137" s="45" t="s">
        <v>427</v>
      </c>
      <c r="H137" s="8" t="s">
        <v>1668</v>
      </c>
      <c r="I137" s="90" t="s">
        <v>1665</v>
      </c>
      <c r="J137" s="10" t="s">
        <v>1664</v>
      </c>
      <c r="P137" s="45" t="str">
        <f>IF(OR(E138&lt;2007, E138&gt;2025), "Error", "OK")</f>
        <v>OK</v>
      </c>
    </row>
    <row r="138" spans="1:16" ht="55.05" customHeight="1" x14ac:dyDescent="0.3">
      <c r="A138" s="39" t="s">
        <v>749</v>
      </c>
      <c r="B138" s="8" t="s">
        <v>1648</v>
      </c>
      <c r="C138" s="8" t="s">
        <v>1657</v>
      </c>
      <c r="D138" s="39" t="s">
        <v>1649</v>
      </c>
      <c r="E138" s="73">
        <v>2021</v>
      </c>
      <c r="G138" s="45" t="s">
        <v>427</v>
      </c>
      <c r="H138" s="8" t="s">
        <v>1658</v>
      </c>
      <c r="I138" s="90" t="s">
        <v>1647</v>
      </c>
      <c r="P138" s="45" t="str">
        <f>IF(OR(E139&lt;2007, E139&gt;2025), "Error", "OK")</f>
        <v>OK</v>
      </c>
    </row>
    <row r="139" spans="1:16" ht="55.05" customHeight="1" x14ac:dyDescent="0.3">
      <c r="A139" s="39" t="s">
        <v>749</v>
      </c>
      <c r="B139" s="8" t="s">
        <v>1623</v>
      </c>
      <c r="C139" s="8" t="s">
        <v>1621</v>
      </c>
      <c r="D139" s="39" t="s">
        <v>1622</v>
      </c>
      <c r="E139" s="73">
        <v>2019</v>
      </c>
      <c r="G139" s="45" t="s">
        <v>427</v>
      </c>
      <c r="H139" s="8" t="s">
        <v>1651</v>
      </c>
      <c r="I139" s="90" t="s">
        <v>1624</v>
      </c>
      <c r="P139" s="45" t="str">
        <f>IF(OR(E140&lt;2007, E140&gt;2025), "Error", "OK")</f>
        <v>OK</v>
      </c>
    </row>
    <row r="140" spans="1:16" ht="55.05" customHeight="1" x14ac:dyDescent="0.3">
      <c r="A140" s="39" t="s">
        <v>749</v>
      </c>
      <c r="B140" s="8" t="s">
        <v>1639</v>
      </c>
      <c r="C140" s="8" t="s">
        <v>1640</v>
      </c>
      <c r="D140" s="39" t="s">
        <v>1641</v>
      </c>
      <c r="E140" s="73">
        <v>2020</v>
      </c>
      <c r="G140" s="45" t="s">
        <v>427</v>
      </c>
      <c r="H140" s="8" t="s">
        <v>1655</v>
      </c>
      <c r="I140" s="90" t="s">
        <v>1642</v>
      </c>
    </row>
    <row r="141" spans="1:16" ht="55.05" customHeight="1" x14ac:dyDescent="0.3">
      <c r="A141" s="39" t="s">
        <v>749</v>
      </c>
      <c r="B141" s="8" t="s">
        <v>1147</v>
      </c>
      <c r="C141" s="8" t="s">
        <v>1149</v>
      </c>
      <c r="D141" s="39" t="s">
        <v>1150</v>
      </c>
      <c r="E141" s="73">
        <v>2021</v>
      </c>
      <c r="G141" s="45" t="s">
        <v>427</v>
      </c>
      <c r="H141" s="8" t="s">
        <v>1146</v>
      </c>
      <c r="I141" s="90" t="s">
        <v>1764</v>
      </c>
      <c r="P141" s="45" t="str">
        <f>IF(OR(E142&lt;2007, E142&gt;2025), "Error", "OK")</f>
        <v>OK</v>
      </c>
    </row>
    <row r="142" spans="1:16" ht="55.05" customHeight="1" x14ac:dyDescent="0.3">
      <c r="A142" s="39" t="s">
        <v>749</v>
      </c>
      <c r="B142" s="8" t="s">
        <v>1698</v>
      </c>
      <c r="C142" s="8" t="s">
        <v>1699</v>
      </c>
      <c r="D142" s="39" t="s">
        <v>649</v>
      </c>
      <c r="E142" s="73">
        <v>2023</v>
      </c>
      <c r="G142" s="45" t="s">
        <v>1159</v>
      </c>
      <c r="H142" s="8" t="s">
        <v>1592</v>
      </c>
      <c r="I142" s="90" t="s">
        <v>1593</v>
      </c>
      <c r="P142" s="45" t="str">
        <f>IF(OR(E143&lt;2007, E143&gt;2025), "Error", "OK")</f>
        <v>OK</v>
      </c>
    </row>
    <row r="143" spans="1:16" ht="55.05" customHeight="1" x14ac:dyDescent="0.3">
      <c r="A143" s="39" t="s">
        <v>749</v>
      </c>
      <c r="B143" s="8" t="s">
        <v>1449</v>
      </c>
      <c r="C143" s="8" t="s">
        <v>1450</v>
      </c>
      <c r="D143" s="39" t="s">
        <v>1062</v>
      </c>
      <c r="E143" s="73">
        <v>2025</v>
      </c>
      <c r="G143" s="45" t="s">
        <v>427</v>
      </c>
      <c r="H143" s="8" t="s">
        <v>1451</v>
      </c>
      <c r="I143" s="95" t="s">
        <v>1449</v>
      </c>
    </row>
    <row r="144" spans="1:16" ht="55.05" customHeight="1" x14ac:dyDescent="0.3">
      <c r="A144" s="39" t="s">
        <v>749</v>
      </c>
      <c r="B144" s="8" t="s">
        <v>870</v>
      </c>
      <c r="C144" s="8" t="s">
        <v>1141</v>
      </c>
      <c r="D144" s="39" t="s">
        <v>1404</v>
      </c>
      <c r="E144" s="73">
        <v>2018</v>
      </c>
      <c r="G144" s="45" t="s">
        <v>427</v>
      </c>
      <c r="H144" s="8" t="s">
        <v>1142</v>
      </c>
      <c r="I144" s="90" t="s">
        <v>1766</v>
      </c>
      <c r="J144" s="10" t="s">
        <v>1765</v>
      </c>
    </row>
    <row r="145" spans="1:16" ht="55.05" customHeight="1" x14ac:dyDescent="0.3">
      <c r="A145" s="39" t="s">
        <v>749</v>
      </c>
      <c r="B145" s="8" t="s">
        <v>1767</v>
      </c>
      <c r="C145" s="8" t="s">
        <v>1768</v>
      </c>
      <c r="D145" s="39" t="s">
        <v>1057</v>
      </c>
      <c r="E145" s="73">
        <v>2018</v>
      </c>
      <c r="G145" s="45" t="s">
        <v>427</v>
      </c>
      <c r="H145" s="8" t="s">
        <v>1757</v>
      </c>
      <c r="I145" s="90" t="s">
        <v>1767</v>
      </c>
    </row>
    <row r="146" spans="1:16" ht="55.05" customHeight="1" x14ac:dyDescent="0.3">
      <c r="A146" s="39" t="s">
        <v>749</v>
      </c>
      <c r="B146" s="8" t="s">
        <v>1769</v>
      </c>
      <c r="C146" s="8" t="s">
        <v>1770</v>
      </c>
      <c r="D146" s="39" t="s">
        <v>622</v>
      </c>
      <c r="E146" s="73">
        <v>2022</v>
      </c>
      <c r="G146" s="45" t="s">
        <v>427</v>
      </c>
      <c r="H146" s="8" t="s">
        <v>1757</v>
      </c>
      <c r="I146" s="90" t="s">
        <v>1771</v>
      </c>
    </row>
    <row r="147" spans="1:16" ht="55.05" customHeight="1" x14ac:dyDescent="0.3">
      <c r="A147" s="39" t="s">
        <v>749</v>
      </c>
      <c r="B147" s="8" t="s">
        <v>572</v>
      </c>
      <c r="C147" s="8" t="s">
        <v>1268</v>
      </c>
      <c r="D147" s="39" t="s">
        <v>661</v>
      </c>
      <c r="E147" s="73">
        <v>2019</v>
      </c>
      <c r="G147" s="45" t="s">
        <v>427</v>
      </c>
      <c r="H147" s="8" t="s">
        <v>1273</v>
      </c>
      <c r="I147" s="90" t="s">
        <v>1714</v>
      </c>
    </row>
    <row r="148" spans="1:16" ht="55.05" customHeight="1" x14ac:dyDescent="0.3">
      <c r="A148" s="39" t="s">
        <v>749</v>
      </c>
      <c r="B148" s="8" t="s">
        <v>572</v>
      </c>
      <c r="C148" s="8" t="s">
        <v>1268</v>
      </c>
      <c r="D148" s="39" t="s">
        <v>436</v>
      </c>
      <c r="E148" s="73">
        <v>2024</v>
      </c>
      <c r="G148" s="45" t="s">
        <v>427</v>
      </c>
      <c r="H148" s="8" t="s">
        <v>1548</v>
      </c>
      <c r="I148" s="90" t="s">
        <v>1772</v>
      </c>
    </row>
    <row r="149" spans="1:16" ht="55.05" customHeight="1" x14ac:dyDescent="0.3">
      <c r="A149" s="39" t="s">
        <v>749</v>
      </c>
      <c r="B149" s="8" t="s">
        <v>1549</v>
      </c>
      <c r="C149" s="8" t="s">
        <v>1268</v>
      </c>
      <c r="D149" s="39" t="s">
        <v>436</v>
      </c>
      <c r="E149" s="73">
        <v>2024</v>
      </c>
      <c r="G149" s="45" t="s">
        <v>427</v>
      </c>
      <c r="H149" s="1" t="s">
        <v>1548</v>
      </c>
      <c r="I149" s="90" t="s">
        <v>1773</v>
      </c>
    </row>
    <row r="150" spans="1:16" ht="55.05" customHeight="1" x14ac:dyDescent="0.3">
      <c r="A150" s="39" t="s">
        <v>749</v>
      </c>
      <c r="B150" s="8" t="s">
        <v>579</v>
      </c>
      <c r="C150" s="8" t="s">
        <v>770</v>
      </c>
      <c r="D150" s="39" t="s">
        <v>760</v>
      </c>
      <c r="E150" s="73">
        <v>2018</v>
      </c>
      <c r="F150" s="10" t="s">
        <v>603</v>
      </c>
      <c r="G150" s="45" t="s">
        <v>604</v>
      </c>
      <c r="H150" s="8" t="s">
        <v>1269</v>
      </c>
      <c r="I150" s="90" t="s">
        <v>1774</v>
      </c>
    </row>
    <row r="151" spans="1:16" ht="55.05" customHeight="1" x14ac:dyDescent="0.3">
      <c r="A151" s="39" t="s">
        <v>749</v>
      </c>
      <c r="B151" s="8" t="s">
        <v>771</v>
      </c>
      <c r="C151" s="8" t="s">
        <v>616</v>
      </c>
      <c r="D151" s="39" t="s">
        <v>760</v>
      </c>
      <c r="E151" s="73">
        <v>2024</v>
      </c>
      <c r="F151" s="10" t="s">
        <v>922</v>
      </c>
      <c r="G151" s="45" t="s">
        <v>1159</v>
      </c>
      <c r="H151" s="8" t="s">
        <v>1201</v>
      </c>
      <c r="I151" s="90" t="s">
        <v>1775</v>
      </c>
    </row>
    <row r="152" spans="1:16" ht="55.05" customHeight="1" x14ac:dyDescent="0.3">
      <c r="A152" s="39" t="s">
        <v>749</v>
      </c>
      <c r="B152" s="8" t="s">
        <v>1776</v>
      </c>
      <c r="C152" s="8" t="s">
        <v>590</v>
      </c>
      <c r="D152" s="39" t="s">
        <v>701</v>
      </c>
      <c r="E152" s="73">
        <v>2025</v>
      </c>
      <c r="F152" s="10" t="s">
        <v>632</v>
      </c>
      <c r="G152" s="45" t="s">
        <v>1410</v>
      </c>
      <c r="H152" s="8" t="s">
        <v>1782</v>
      </c>
      <c r="I152" s="90" t="s">
        <v>1781</v>
      </c>
      <c r="J152" s="90"/>
    </row>
    <row r="153" spans="1:16" ht="55.05" customHeight="1" x14ac:dyDescent="0.3">
      <c r="A153" s="39" t="s">
        <v>749</v>
      </c>
      <c r="B153" s="8" t="s">
        <v>1778</v>
      </c>
      <c r="C153" s="8" t="s">
        <v>1778</v>
      </c>
      <c r="D153" s="39" t="s">
        <v>760</v>
      </c>
      <c r="E153" s="73">
        <v>2025</v>
      </c>
      <c r="G153" s="45" t="s">
        <v>1410</v>
      </c>
      <c r="H153" s="8" t="s">
        <v>1782</v>
      </c>
      <c r="I153" s="90" t="s">
        <v>1783</v>
      </c>
    </row>
    <row r="154" spans="1:16" ht="55.05" customHeight="1" x14ac:dyDescent="0.3">
      <c r="A154" s="39" t="s">
        <v>749</v>
      </c>
      <c r="B154" s="8" t="s">
        <v>1779</v>
      </c>
      <c r="C154" s="8" t="s">
        <v>1785</v>
      </c>
      <c r="D154" s="39" t="s">
        <v>701</v>
      </c>
      <c r="E154" s="73">
        <v>2025</v>
      </c>
      <c r="G154" s="45" t="s">
        <v>1410</v>
      </c>
      <c r="H154" s="8" t="s">
        <v>1782</v>
      </c>
      <c r="I154" s="90" t="s">
        <v>1784</v>
      </c>
    </row>
    <row r="155" spans="1:16" ht="55.05" customHeight="1" x14ac:dyDescent="0.3">
      <c r="A155" s="39" t="s">
        <v>749</v>
      </c>
      <c r="B155" s="8" t="s">
        <v>1780</v>
      </c>
      <c r="C155" s="8" t="s">
        <v>1787</v>
      </c>
      <c r="D155" s="39" t="s">
        <v>701</v>
      </c>
      <c r="E155" s="73">
        <v>2025</v>
      </c>
      <c r="G155" s="45" t="s">
        <v>1410</v>
      </c>
      <c r="H155" s="8" t="s">
        <v>1782</v>
      </c>
      <c r="I155" s="96" t="s">
        <v>1780</v>
      </c>
    </row>
    <row r="156" spans="1:16" ht="55.05" customHeight="1" x14ac:dyDescent="0.3">
      <c r="A156" s="39" t="s">
        <v>749</v>
      </c>
      <c r="B156" s="8" t="s">
        <v>1790</v>
      </c>
      <c r="C156" s="8" t="s">
        <v>606</v>
      </c>
      <c r="D156" s="39" t="s">
        <v>622</v>
      </c>
      <c r="E156" s="73">
        <v>2025</v>
      </c>
      <c r="F156" s="10" t="s">
        <v>628</v>
      </c>
      <c r="G156" s="45" t="s">
        <v>1410</v>
      </c>
      <c r="H156" s="8" t="s">
        <v>1791</v>
      </c>
      <c r="I156" s="90" t="s">
        <v>1777</v>
      </c>
    </row>
    <row r="157" spans="1:16" ht="55.05" customHeight="1" x14ac:dyDescent="0.3">
      <c r="A157" s="39" t="s">
        <v>749</v>
      </c>
      <c r="B157" s="8" t="s">
        <v>1267</v>
      </c>
      <c r="C157" s="8" t="s">
        <v>586</v>
      </c>
      <c r="D157" s="39" t="s">
        <v>690</v>
      </c>
      <c r="E157" s="73">
        <v>2024</v>
      </c>
      <c r="F157" s="10" t="s">
        <v>627</v>
      </c>
      <c r="G157" s="45" t="s">
        <v>22</v>
      </c>
      <c r="H157" s="8" t="s">
        <v>1272</v>
      </c>
      <c r="I157" s="90" t="s">
        <v>1267</v>
      </c>
      <c r="J157" s="96"/>
    </row>
    <row r="158" spans="1:16" ht="55.05" customHeight="1" x14ac:dyDescent="0.3">
      <c r="A158" s="39" t="s">
        <v>749</v>
      </c>
      <c r="B158" s="8" t="s">
        <v>1412</v>
      </c>
      <c r="C158" s="8" t="s">
        <v>1413</v>
      </c>
      <c r="D158" s="39" t="s">
        <v>760</v>
      </c>
      <c r="E158" s="73">
        <v>2020</v>
      </c>
      <c r="F158" s="10" t="s">
        <v>626</v>
      </c>
      <c r="G158" s="45" t="s">
        <v>1410</v>
      </c>
      <c r="H158" s="8" t="s">
        <v>1571</v>
      </c>
      <c r="I158" s="90" t="s">
        <v>1412</v>
      </c>
      <c r="P158" s="45" t="str">
        <f>IF(OR(E159&lt;2007, E159&gt;2025), "Error", "OK")</f>
        <v>OK</v>
      </c>
    </row>
    <row r="159" spans="1:16" ht="55.05" customHeight="1" x14ac:dyDescent="0.3">
      <c r="A159" s="39" t="s">
        <v>749</v>
      </c>
      <c r="B159" s="8" t="s">
        <v>1428</v>
      </c>
      <c r="C159" s="8" t="s">
        <v>1429</v>
      </c>
      <c r="D159" s="39" t="s">
        <v>760</v>
      </c>
      <c r="E159" s="73">
        <v>2019</v>
      </c>
      <c r="G159" s="45" t="s">
        <v>1410</v>
      </c>
      <c r="H159" s="8" t="s">
        <v>1430</v>
      </c>
      <c r="I159" s="90" t="s">
        <v>1428</v>
      </c>
    </row>
    <row r="160" spans="1:16" ht="55.05" customHeight="1" x14ac:dyDescent="0.3">
      <c r="A160" s="39" t="s">
        <v>749</v>
      </c>
      <c r="B160" s="8" t="s">
        <v>1395</v>
      </c>
      <c r="C160" s="8" t="s">
        <v>1059</v>
      </c>
      <c r="D160" s="39" t="s">
        <v>760</v>
      </c>
      <c r="E160" s="73">
        <v>2024</v>
      </c>
      <c r="G160" s="45" t="s">
        <v>1159</v>
      </c>
      <c r="H160" s="8" t="s">
        <v>1396</v>
      </c>
      <c r="I160" s="90" t="s">
        <v>1059</v>
      </c>
    </row>
    <row r="161" spans="1:16" ht="55.05" customHeight="1" x14ac:dyDescent="0.3">
      <c r="A161" s="39" t="s">
        <v>749</v>
      </c>
      <c r="B161" s="8" t="s">
        <v>1786</v>
      </c>
      <c r="C161" s="8" t="s">
        <v>1222</v>
      </c>
      <c r="D161" s="39" t="s">
        <v>622</v>
      </c>
      <c r="E161" s="73">
        <v>2022</v>
      </c>
      <c r="G161" s="45" t="s">
        <v>427</v>
      </c>
      <c r="H161" s="8" t="s">
        <v>1223</v>
      </c>
      <c r="I161" s="90" t="s">
        <v>1786</v>
      </c>
    </row>
    <row r="162" spans="1:16" ht="55.05" customHeight="1" x14ac:dyDescent="0.3">
      <c r="A162" s="39" t="s">
        <v>749</v>
      </c>
      <c r="B162" s="8" t="s">
        <v>1788</v>
      </c>
      <c r="C162" s="8" t="s">
        <v>1793</v>
      </c>
      <c r="D162" s="39" t="s">
        <v>760</v>
      </c>
      <c r="E162" s="73">
        <v>2025</v>
      </c>
      <c r="G162" s="45" t="s">
        <v>1159</v>
      </c>
      <c r="H162" s="8" t="s">
        <v>1794</v>
      </c>
      <c r="I162" s="90" t="s">
        <v>1789</v>
      </c>
    </row>
    <row r="163" spans="1:16" ht="55.05" customHeight="1" x14ac:dyDescent="0.3">
      <c r="A163" s="39" t="s">
        <v>749</v>
      </c>
      <c r="B163" s="8" t="s">
        <v>1795</v>
      </c>
      <c r="C163" s="8" t="s">
        <v>1793</v>
      </c>
      <c r="D163" s="39" t="s">
        <v>760</v>
      </c>
      <c r="E163" s="73">
        <v>2024</v>
      </c>
      <c r="G163" s="45" t="s">
        <v>1159</v>
      </c>
      <c r="H163" s="8" t="s">
        <v>1796</v>
      </c>
      <c r="I163" s="90" t="s">
        <v>1795</v>
      </c>
    </row>
    <row r="164" spans="1:16" ht="55.05" customHeight="1" x14ac:dyDescent="0.3">
      <c r="A164" s="39" t="s">
        <v>749</v>
      </c>
      <c r="B164" s="8" t="s">
        <v>1798</v>
      </c>
      <c r="C164" s="8" t="s">
        <v>1797</v>
      </c>
      <c r="D164" s="39" t="s">
        <v>760</v>
      </c>
      <c r="E164" s="73">
        <v>2024</v>
      </c>
      <c r="F164" s="10" t="s">
        <v>910</v>
      </c>
      <c r="G164" s="45" t="s">
        <v>604</v>
      </c>
      <c r="H164" s="8" t="s">
        <v>1799</v>
      </c>
      <c r="I164" s="90" t="s">
        <v>1800</v>
      </c>
    </row>
    <row r="165" spans="1:16" ht="55.05" customHeight="1" x14ac:dyDescent="0.3">
      <c r="A165" s="39" t="s">
        <v>749</v>
      </c>
      <c r="B165" s="8" t="s">
        <v>1010</v>
      </c>
      <c r="C165" s="8" t="s">
        <v>673</v>
      </c>
      <c r="D165" s="39" t="s">
        <v>674</v>
      </c>
      <c r="E165" s="73">
        <v>2023</v>
      </c>
      <c r="G165" s="45" t="s">
        <v>427</v>
      </c>
      <c r="H165" s="8" t="s">
        <v>1009</v>
      </c>
      <c r="I165" s="90" t="s">
        <v>1010</v>
      </c>
    </row>
    <row r="166" spans="1:16" ht="55.05" customHeight="1" x14ac:dyDescent="0.3">
      <c r="A166" s="39" t="s">
        <v>749</v>
      </c>
      <c r="B166" s="8" t="s">
        <v>871</v>
      </c>
      <c r="C166" s="8" t="s">
        <v>1170</v>
      </c>
      <c r="D166" s="39" t="s">
        <v>760</v>
      </c>
      <c r="E166" s="73">
        <v>2016</v>
      </c>
      <c r="G166" s="45" t="s">
        <v>604</v>
      </c>
      <c r="H166" s="8" t="s">
        <v>1171</v>
      </c>
      <c r="I166" s="90" t="s">
        <v>1792</v>
      </c>
    </row>
    <row r="167" spans="1:16" ht="55.05" customHeight="1" x14ac:dyDescent="0.3">
      <c r="A167" s="39" t="s">
        <v>749</v>
      </c>
      <c r="B167" s="8" t="s">
        <v>1173</v>
      </c>
      <c r="C167" s="8" t="s">
        <v>1174</v>
      </c>
      <c r="D167" s="39" t="s">
        <v>760</v>
      </c>
      <c r="E167" s="73">
        <v>2022</v>
      </c>
      <c r="F167" s="10" t="s">
        <v>624</v>
      </c>
      <c r="G167" s="45" t="s">
        <v>22</v>
      </c>
      <c r="H167" s="8" t="s">
        <v>1176</v>
      </c>
      <c r="I167" s="90" t="s">
        <v>1173</v>
      </c>
    </row>
    <row r="168" spans="1:16" ht="55.05" customHeight="1" x14ac:dyDescent="0.3">
      <c r="A168" s="39" t="s">
        <v>749</v>
      </c>
      <c r="B168" s="8" t="s">
        <v>1332</v>
      </c>
      <c r="C168" s="8" t="s">
        <v>1333</v>
      </c>
      <c r="D168" s="39" t="s">
        <v>760</v>
      </c>
      <c r="E168" s="73">
        <v>2025</v>
      </c>
      <c r="F168" s="10" t="s">
        <v>909</v>
      </c>
      <c r="G168" s="45" t="s">
        <v>604</v>
      </c>
      <c r="H168" s="8" t="s">
        <v>1334</v>
      </c>
      <c r="I168" s="90" t="s">
        <v>1332</v>
      </c>
      <c r="P168" s="45" t="str">
        <f>IF(OR(E169&lt;2007, E169&gt;2025), "Error", "OK")</f>
        <v>OK</v>
      </c>
    </row>
    <row r="169" spans="1:16" ht="55.05" customHeight="1" x14ac:dyDescent="0.3">
      <c r="A169" s="39" t="s">
        <v>749</v>
      </c>
      <c r="B169" s="8" t="s">
        <v>1433</v>
      </c>
      <c r="C169" s="8" t="s">
        <v>860</v>
      </c>
      <c r="D169" s="39" t="s">
        <v>436</v>
      </c>
      <c r="E169" s="73">
        <v>2021</v>
      </c>
      <c r="G169" s="45" t="s">
        <v>1159</v>
      </c>
      <c r="H169" s="8" t="s">
        <v>1290</v>
      </c>
      <c r="I169" s="90" t="s">
        <v>1433</v>
      </c>
    </row>
    <row r="170" spans="1:16" ht="55.05" customHeight="1" x14ac:dyDescent="0.3">
      <c r="A170" s="39" t="s">
        <v>749</v>
      </c>
      <c r="B170" s="8" t="s">
        <v>1392</v>
      </c>
      <c r="C170" s="8" t="s">
        <v>617</v>
      </c>
      <c r="D170" s="39" t="s">
        <v>760</v>
      </c>
      <c r="E170" s="73">
        <v>2024</v>
      </c>
      <c r="G170" s="45" t="s">
        <v>1159</v>
      </c>
      <c r="H170" s="8" t="s">
        <v>1391</v>
      </c>
      <c r="I170" s="8" t="s">
        <v>1193</v>
      </c>
    </row>
    <row r="171" spans="1:16" ht="55.05" customHeight="1" x14ac:dyDescent="0.3">
      <c r="A171" s="39" t="s">
        <v>749</v>
      </c>
      <c r="B171" s="8" t="s">
        <v>1378</v>
      </c>
      <c r="C171" s="8" t="s">
        <v>1377</v>
      </c>
      <c r="D171" s="39" t="s">
        <v>674</v>
      </c>
      <c r="E171" s="73">
        <v>2023</v>
      </c>
      <c r="G171" s="45" t="s">
        <v>427</v>
      </c>
      <c r="H171" s="8" t="s">
        <v>1380</v>
      </c>
      <c r="I171" s="8" t="s">
        <v>1103</v>
      </c>
    </row>
    <row r="172" spans="1:16" ht="55.05" customHeight="1" x14ac:dyDescent="0.3">
      <c r="A172" s="39" t="s">
        <v>749</v>
      </c>
      <c r="B172" s="8" t="s">
        <v>1298</v>
      </c>
      <c r="C172" s="8" t="s">
        <v>1299</v>
      </c>
      <c r="D172" s="39" t="s">
        <v>760</v>
      </c>
      <c r="E172" s="73">
        <v>2015</v>
      </c>
      <c r="G172" s="45" t="s">
        <v>946</v>
      </c>
      <c r="H172" s="8" t="s">
        <v>1297</v>
      </c>
      <c r="I172" s="8" t="s">
        <v>947</v>
      </c>
    </row>
    <row r="173" spans="1:16" ht="55.05" customHeight="1" x14ac:dyDescent="0.3">
      <c r="A173" s="39" t="s">
        <v>749</v>
      </c>
      <c r="B173" s="8" t="s">
        <v>1231</v>
      </c>
      <c r="C173" s="8" t="s">
        <v>1234</v>
      </c>
      <c r="D173" s="39" t="s">
        <v>760</v>
      </c>
      <c r="E173" s="73">
        <v>2024</v>
      </c>
      <c r="G173" s="45" t="s">
        <v>427</v>
      </c>
      <c r="H173" s="8" t="s">
        <v>1237</v>
      </c>
      <c r="I173" s="8" t="s">
        <v>1230</v>
      </c>
    </row>
    <row r="174" spans="1:16" ht="55.05" customHeight="1" x14ac:dyDescent="0.3">
      <c r="A174" s="39" t="s">
        <v>749</v>
      </c>
      <c r="B174" s="8" t="s">
        <v>949</v>
      </c>
      <c r="C174" s="8" t="s">
        <v>948</v>
      </c>
      <c r="D174" s="39" t="s">
        <v>789</v>
      </c>
      <c r="E174" s="73">
        <v>2007</v>
      </c>
      <c r="G174" s="45" t="s">
        <v>22</v>
      </c>
      <c r="H174" s="8" t="s">
        <v>951</v>
      </c>
      <c r="I174" s="8" t="s">
        <v>950</v>
      </c>
    </row>
    <row r="175" spans="1:16" ht="55.05" customHeight="1" x14ac:dyDescent="0.3">
      <c r="A175" s="39" t="s">
        <v>749</v>
      </c>
      <c r="B175" s="8" t="s">
        <v>1282</v>
      </c>
      <c r="C175" s="8" t="s">
        <v>1283</v>
      </c>
      <c r="D175" s="39" t="s">
        <v>676</v>
      </c>
      <c r="E175" s="73">
        <v>2020</v>
      </c>
      <c r="F175" s="10" t="s">
        <v>593</v>
      </c>
      <c r="G175" s="45" t="s">
        <v>12</v>
      </c>
      <c r="H175" s="8" t="s">
        <v>1284</v>
      </c>
      <c r="I175" s="8" t="s">
        <v>611</v>
      </c>
    </row>
    <row r="176" spans="1:16" ht="55.05" customHeight="1" x14ac:dyDescent="0.3">
      <c r="A176" s="39" t="s">
        <v>749</v>
      </c>
      <c r="B176" s="8" t="s">
        <v>576</v>
      </c>
      <c r="C176" s="8" t="s">
        <v>1144</v>
      </c>
      <c r="D176" s="39" t="s">
        <v>1145</v>
      </c>
      <c r="E176" s="73">
        <v>2019</v>
      </c>
      <c r="G176" s="45" t="s">
        <v>427</v>
      </c>
      <c r="H176" s="8" t="s">
        <v>1143</v>
      </c>
      <c r="I176" s="8" t="s">
        <v>1148</v>
      </c>
    </row>
    <row r="177" spans="1:16" ht="55.05" customHeight="1" x14ac:dyDescent="0.3">
      <c r="A177" s="39" t="s">
        <v>749</v>
      </c>
      <c r="B177" s="8" t="s">
        <v>581</v>
      </c>
      <c r="C177" s="8" t="s">
        <v>856</v>
      </c>
      <c r="D177" s="39" t="s">
        <v>760</v>
      </c>
      <c r="E177" s="73">
        <v>2023</v>
      </c>
      <c r="G177" s="45" t="s">
        <v>604</v>
      </c>
      <c r="H177" s="8" t="s">
        <v>1209</v>
      </c>
      <c r="I177" s="8" t="s">
        <v>1208</v>
      </c>
      <c r="P177" s="45"/>
    </row>
    <row r="178" spans="1:16" ht="55.05" customHeight="1" x14ac:dyDescent="0.3">
      <c r="A178" s="39" t="s">
        <v>749</v>
      </c>
      <c r="B178" s="8" t="s">
        <v>1460</v>
      </c>
      <c r="C178" s="8" t="s">
        <v>1461</v>
      </c>
      <c r="D178" s="39" t="s">
        <v>850</v>
      </c>
      <c r="E178" s="73">
        <v>2021</v>
      </c>
      <c r="G178" s="45" t="s">
        <v>427</v>
      </c>
      <c r="H178" s="8" t="s">
        <v>1350</v>
      </c>
      <c r="I178" s="90" t="s">
        <v>1462</v>
      </c>
    </row>
    <row r="179" spans="1:16" ht="55.05" customHeight="1" x14ac:dyDescent="0.3">
      <c r="A179" s="39" t="s">
        <v>749</v>
      </c>
      <c r="B179" s="8" t="s">
        <v>1255</v>
      </c>
      <c r="C179" s="8" t="s">
        <v>607</v>
      </c>
      <c r="D179" s="39" t="s">
        <v>622</v>
      </c>
      <c r="E179" s="73">
        <v>2024</v>
      </c>
      <c r="F179" s="10" t="s">
        <v>629</v>
      </c>
      <c r="G179" s="45" t="s">
        <v>22</v>
      </c>
      <c r="H179" s="8" t="s">
        <v>1256</v>
      </c>
      <c r="I179" s="8" t="s">
        <v>944</v>
      </c>
    </row>
    <row r="180" spans="1:16" ht="55.05" customHeight="1" x14ac:dyDescent="0.3">
      <c r="A180" s="39" t="s">
        <v>749</v>
      </c>
      <c r="B180" s="8" t="s">
        <v>600</v>
      </c>
      <c r="C180" s="8" t="s">
        <v>857</v>
      </c>
      <c r="D180" s="39" t="s">
        <v>674</v>
      </c>
      <c r="E180" s="73">
        <v>2024</v>
      </c>
      <c r="F180" s="10" t="s">
        <v>601</v>
      </c>
      <c r="G180" s="45" t="s">
        <v>12</v>
      </c>
      <c r="H180" s="8" t="s">
        <v>1104</v>
      </c>
      <c r="I180" s="8" t="s">
        <v>1105</v>
      </c>
    </row>
    <row r="181" spans="1:16" ht="55.05" customHeight="1" x14ac:dyDescent="0.3">
      <c r="A181" s="39" t="s">
        <v>749</v>
      </c>
      <c r="B181" s="8" t="s">
        <v>573</v>
      </c>
      <c r="C181" s="8" t="s">
        <v>1064</v>
      </c>
      <c r="D181" s="39" t="s">
        <v>690</v>
      </c>
      <c r="E181" s="73">
        <v>2019</v>
      </c>
      <c r="G181" s="45" t="s">
        <v>427</v>
      </c>
      <c r="H181" s="8" t="s">
        <v>1063</v>
      </c>
      <c r="I181" s="8" t="s">
        <v>1008</v>
      </c>
    </row>
    <row r="182" spans="1:16" ht="55.05" customHeight="1" x14ac:dyDescent="0.3">
      <c r="A182" s="39" t="s">
        <v>749</v>
      </c>
      <c r="B182" s="8" t="s">
        <v>1006</v>
      </c>
      <c r="C182" s="8" t="s">
        <v>689</v>
      </c>
      <c r="D182" s="39" t="s">
        <v>690</v>
      </c>
      <c r="E182" s="73">
        <v>2020</v>
      </c>
      <c r="G182" s="45" t="s">
        <v>427</v>
      </c>
      <c r="H182" s="8" t="s">
        <v>1007</v>
      </c>
      <c r="I182" s="8" t="s">
        <v>1008</v>
      </c>
      <c r="P182" s="45" t="str">
        <f>IF(OR(E183&lt;2007, E183&gt;2025), "Error", "OK")</f>
        <v>OK</v>
      </c>
    </row>
    <row r="183" spans="1:16" ht="55.05" customHeight="1" x14ac:dyDescent="0.3">
      <c r="A183" s="39" t="s">
        <v>749</v>
      </c>
      <c r="B183" s="8" t="s">
        <v>681</v>
      </c>
      <c r="C183" s="8" t="s">
        <v>1479</v>
      </c>
      <c r="D183" s="39" t="s">
        <v>621</v>
      </c>
      <c r="E183" s="73">
        <v>2025</v>
      </c>
      <c r="G183" s="45" t="s">
        <v>1159</v>
      </c>
      <c r="H183" s="8" t="s">
        <v>1480</v>
      </c>
      <c r="I183" s="90" t="s">
        <v>681</v>
      </c>
    </row>
    <row r="184" spans="1:16" ht="55.05" customHeight="1" x14ac:dyDescent="0.3">
      <c r="A184" s="39" t="s">
        <v>749</v>
      </c>
      <c r="B184" s="8" t="s">
        <v>1313</v>
      </c>
      <c r="C184" s="8" t="s">
        <v>1399</v>
      </c>
      <c r="D184" s="39" t="s">
        <v>693</v>
      </c>
      <c r="E184" s="73">
        <v>2024</v>
      </c>
      <c r="G184" s="45" t="s">
        <v>427</v>
      </c>
      <c r="H184" s="8" t="s">
        <v>1400</v>
      </c>
      <c r="I184" s="8" t="s">
        <v>1065</v>
      </c>
    </row>
    <row r="185" spans="1:16" ht="55.05" customHeight="1" x14ac:dyDescent="0.3">
      <c r="A185" s="39" t="s">
        <v>749</v>
      </c>
      <c r="B185" s="8" t="s">
        <v>867</v>
      </c>
      <c r="C185" s="8" t="s">
        <v>585</v>
      </c>
      <c r="D185" s="39" t="s">
        <v>760</v>
      </c>
      <c r="E185" s="73">
        <v>2025</v>
      </c>
      <c r="G185" s="45" t="s">
        <v>22</v>
      </c>
      <c r="H185" s="8" t="s">
        <v>1211</v>
      </c>
      <c r="I185" s="8" t="s">
        <v>1210</v>
      </c>
      <c r="P185" s="45" t="str">
        <f>IF(OR(E186&lt;2007, E186&gt;2025), "Error", "OK")</f>
        <v>OK</v>
      </c>
    </row>
    <row r="186" spans="1:16" ht="55.05" customHeight="1" x14ac:dyDescent="0.3">
      <c r="A186" s="39" t="s">
        <v>749</v>
      </c>
      <c r="B186" s="8" t="s">
        <v>1625</v>
      </c>
      <c r="C186" s="8" t="s">
        <v>1626</v>
      </c>
      <c r="D186" s="39" t="s">
        <v>676</v>
      </c>
      <c r="E186" s="73">
        <v>2024</v>
      </c>
      <c r="G186" s="45" t="s">
        <v>427</v>
      </c>
      <c r="H186" s="8" t="s">
        <v>1652</v>
      </c>
      <c r="I186" s="90" t="s">
        <v>1627</v>
      </c>
      <c r="P186" s="45" t="str">
        <f>IF(OR(E187&lt;2007, E187&gt;2025), "Error", "OK")</f>
        <v>OK</v>
      </c>
    </row>
    <row r="187" spans="1:16" ht="55.05" customHeight="1" x14ac:dyDescent="0.3">
      <c r="A187" s="39" t="s">
        <v>749</v>
      </c>
      <c r="B187" s="8" t="s">
        <v>1599</v>
      </c>
      <c r="C187" s="8" t="s">
        <v>1600</v>
      </c>
      <c r="D187" s="39" t="s">
        <v>851</v>
      </c>
      <c r="E187" s="73">
        <v>2021</v>
      </c>
      <c r="G187" s="45" t="s">
        <v>427</v>
      </c>
      <c r="H187" s="8" t="s">
        <v>1601</v>
      </c>
      <c r="I187" s="90" t="s">
        <v>1602</v>
      </c>
    </row>
    <row r="188" spans="1:16" ht="55.05" customHeight="1" x14ac:dyDescent="0.3">
      <c r="A188" s="39" t="s">
        <v>749</v>
      </c>
      <c r="B188" s="8" t="s">
        <v>584</v>
      </c>
      <c r="C188" s="8" t="s">
        <v>618</v>
      </c>
      <c r="D188" s="39" t="s">
        <v>760</v>
      </c>
      <c r="E188" s="73">
        <v>2022</v>
      </c>
      <c r="G188" s="45" t="s">
        <v>604</v>
      </c>
      <c r="H188" s="8" t="s">
        <v>1216</v>
      </c>
      <c r="I188" s="8" t="s">
        <v>1214</v>
      </c>
    </row>
    <row r="189" spans="1:16" ht="55.05" customHeight="1" x14ac:dyDescent="0.3">
      <c r="A189" s="39" t="s">
        <v>749</v>
      </c>
      <c r="B189" s="8" t="s">
        <v>1177</v>
      </c>
      <c r="C189" s="8" t="s">
        <v>1172</v>
      </c>
      <c r="D189" s="39" t="s">
        <v>760</v>
      </c>
      <c r="E189" s="73">
        <v>2024</v>
      </c>
      <c r="G189" s="45" t="s">
        <v>946</v>
      </c>
      <c r="H189" s="8" t="s">
        <v>1178</v>
      </c>
      <c r="I189" s="8" t="s">
        <v>1175</v>
      </c>
    </row>
    <row r="190" spans="1:16" ht="55.05" customHeight="1" x14ac:dyDescent="0.3">
      <c r="A190" s="39" t="s">
        <v>749</v>
      </c>
      <c r="B190" s="8" t="s">
        <v>1506</v>
      </c>
      <c r="C190" s="8" t="s">
        <v>1507</v>
      </c>
      <c r="D190" s="39" t="s">
        <v>661</v>
      </c>
      <c r="E190" s="73">
        <v>2018</v>
      </c>
      <c r="G190" s="45" t="s">
        <v>976</v>
      </c>
      <c r="H190" s="8" t="s">
        <v>1508</v>
      </c>
      <c r="I190" s="90" t="s">
        <v>1506</v>
      </c>
    </row>
    <row r="191" spans="1:16" ht="55.05" customHeight="1" x14ac:dyDescent="0.3">
      <c r="A191" s="39" t="s">
        <v>749</v>
      </c>
      <c r="B191" s="8" t="s">
        <v>1526</v>
      </c>
      <c r="C191" s="8" t="s">
        <v>1527</v>
      </c>
      <c r="D191" s="39" t="s">
        <v>760</v>
      </c>
      <c r="E191" s="73">
        <v>2024</v>
      </c>
      <c r="F191" s="10" t="s">
        <v>891</v>
      </c>
      <c r="G191" s="45" t="s">
        <v>1159</v>
      </c>
      <c r="H191" s="8" t="s">
        <v>1528</v>
      </c>
      <c r="I191" s="90" t="s">
        <v>1529</v>
      </c>
    </row>
    <row r="192" spans="1:16" ht="55.05" customHeight="1" x14ac:dyDescent="0.3">
      <c r="A192" s="39" t="s">
        <v>749</v>
      </c>
      <c r="B192" s="8" t="s">
        <v>1543</v>
      </c>
      <c r="C192" s="8" t="s">
        <v>1544</v>
      </c>
      <c r="D192" s="39" t="s">
        <v>621</v>
      </c>
      <c r="E192" s="73">
        <v>2019</v>
      </c>
      <c r="G192" s="45" t="s">
        <v>1410</v>
      </c>
      <c r="H192" s="8" t="s">
        <v>1545</v>
      </c>
      <c r="I192" s="90" t="s">
        <v>1543</v>
      </c>
    </row>
    <row r="193" spans="1:16" ht="55.05" customHeight="1" x14ac:dyDescent="0.3">
      <c r="A193" s="39" t="s">
        <v>749</v>
      </c>
      <c r="B193" s="8" t="s">
        <v>1189</v>
      </c>
      <c r="C193" s="8" t="s">
        <v>1684</v>
      </c>
      <c r="D193" s="39" t="s">
        <v>760</v>
      </c>
      <c r="E193" s="73">
        <v>2019</v>
      </c>
      <c r="G193" s="45" t="s">
        <v>22</v>
      </c>
      <c r="H193" s="8" t="s">
        <v>1190</v>
      </c>
      <c r="I193" s="90" t="s">
        <v>1685</v>
      </c>
    </row>
    <row r="194" spans="1:16" ht="55.05" customHeight="1" x14ac:dyDescent="0.3">
      <c r="A194" s="39" t="s">
        <v>749</v>
      </c>
      <c r="B194" s="8" t="s">
        <v>1293</v>
      </c>
      <c r="C194" s="8" t="s">
        <v>1294</v>
      </c>
      <c r="D194" s="39" t="s">
        <v>760</v>
      </c>
      <c r="E194" s="73">
        <v>2024</v>
      </c>
      <c r="G194" s="45" t="s">
        <v>22</v>
      </c>
      <c r="H194" s="8" t="s">
        <v>1295</v>
      </c>
      <c r="I194" s="90" t="s">
        <v>1686</v>
      </c>
    </row>
    <row r="195" spans="1:16" ht="55.05" customHeight="1" x14ac:dyDescent="0.3">
      <c r="A195" s="39" t="s">
        <v>749</v>
      </c>
      <c r="B195" s="8" t="s">
        <v>1394</v>
      </c>
      <c r="C195" s="8" t="s">
        <v>1059</v>
      </c>
      <c r="D195" s="39" t="s">
        <v>760</v>
      </c>
      <c r="E195" s="73">
        <v>2025</v>
      </c>
      <c r="G195" s="45" t="s">
        <v>1159</v>
      </c>
      <c r="H195" s="8" t="s">
        <v>1397</v>
      </c>
      <c r="I195" s="90" t="s">
        <v>1687</v>
      </c>
    </row>
    <row r="196" spans="1:16" ht="55.05" customHeight="1" x14ac:dyDescent="0.3">
      <c r="A196" s="39" t="s">
        <v>749</v>
      </c>
      <c r="B196" s="8" t="s">
        <v>1235</v>
      </c>
      <c r="C196" s="8" t="s">
        <v>1236</v>
      </c>
      <c r="D196" s="39" t="s">
        <v>760</v>
      </c>
      <c r="E196" s="73">
        <v>2024</v>
      </c>
      <c r="G196" s="45" t="s">
        <v>427</v>
      </c>
      <c r="H196" s="8" t="s">
        <v>1240</v>
      </c>
      <c r="I196" s="90" t="s">
        <v>1688</v>
      </c>
      <c r="P196" s="45" t="str">
        <f>IF(OR(E197&lt;2007, E197&gt;2025), "Error", "OK")</f>
        <v>OK</v>
      </c>
    </row>
    <row r="197" spans="1:16" ht="55.05" customHeight="1" x14ac:dyDescent="0.3">
      <c r="A197" s="39" t="s">
        <v>749</v>
      </c>
      <c r="B197" s="8" t="s">
        <v>1631</v>
      </c>
      <c r="C197" s="8" t="s">
        <v>1632</v>
      </c>
      <c r="D197" s="39" t="s">
        <v>1062</v>
      </c>
      <c r="E197" s="73">
        <v>2018</v>
      </c>
      <c r="G197" s="45" t="s">
        <v>976</v>
      </c>
      <c r="H197" s="8" t="s">
        <v>1633</v>
      </c>
      <c r="I197" s="90" t="s">
        <v>1638</v>
      </c>
    </row>
    <row r="198" spans="1:16" ht="55.05" customHeight="1" x14ac:dyDescent="0.3">
      <c r="A198" s="39" t="s">
        <v>749</v>
      </c>
      <c r="B198" s="8" t="s">
        <v>1226</v>
      </c>
      <c r="C198" s="8" t="s">
        <v>1227</v>
      </c>
      <c r="D198" s="39" t="s">
        <v>760</v>
      </c>
      <c r="E198" s="73">
        <v>2023</v>
      </c>
      <c r="G198" s="45" t="s">
        <v>22</v>
      </c>
      <c r="H198" s="8" t="s">
        <v>1228</v>
      </c>
      <c r="I198" s="90" t="s">
        <v>1689</v>
      </c>
    </row>
    <row r="199" spans="1:16" ht="55.05" customHeight="1" x14ac:dyDescent="0.3">
      <c r="A199" s="39" t="s">
        <v>749</v>
      </c>
      <c r="B199" s="8" t="s">
        <v>989</v>
      </c>
      <c r="C199" s="8" t="s">
        <v>990</v>
      </c>
      <c r="D199" s="39" t="s">
        <v>854</v>
      </c>
      <c r="E199" s="73">
        <v>2025</v>
      </c>
      <c r="G199" s="45" t="s">
        <v>946</v>
      </c>
      <c r="H199" s="8" t="s">
        <v>1068</v>
      </c>
      <c r="I199" s="8" t="s">
        <v>992</v>
      </c>
    </row>
    <row r="200" spans="1:16" ht="55.05" customHeight="1" x14ac:dyDescent="0.3">
      <c r="A200" s="39" t="s">
        <v>749</v>
      </c>
      <c r="B200" s="8" t="s">
        <v>1501</v>
      </c>
      <c r="C200" s="8" t="s">
        <v>1502</v>
      </c>
      <c r="D200" s="39" t="s">
        <v>760</v>
      </c>
      <c r="E200" s="73">
        <v>2023</v>
      </c>
      <c r="F200" s="10" t="s">
        <v>932</v>
      </c>
      <c r="G200" s="45" t="s">
        <v>427</v>
      </c>
      <c r="H200" s="8" t="s">
        <v>1503</v>
      </c>
      <c r="I200" s="90" t="s">
        <v>1501</v>
      </c>
    </row>
    <row r="201" spans="1:16" ht="55.05" customHeight="1" x14ac:dyDescent="0.3">
      <c r="A201" s="39" t="s">
        <v>749</v>
      </c>
      <c r="B201" s="8" t="s">
        <v>582</v>
      </c>
      <c r="C201" s="8" t="s">
        <v>859</v>
      </c>
      <c r="D201" s="39" t="s">
        <v>760</v>
      </c>
      <c r="E201" s="73">
        <v>2021</v>
      </c>
      <c r="G201" s="45" t="s">
        <v>604</v>
      </c>
      <c r="H201" s="8" t="s">
        <v>1218</v>
      </c>
      <c r="I201" s="8" t="s">
        <v>1217</v>
      </c>
    </row>
    <row r="202" spans="1:16" ht="55.05" customHeight="1" x14ac:dyDescent="0.3">
      <c r="A202" s="39" t="s">
        <v>749</v>
      </c>
      <c r="B202" s="8" t="s">
        <v>577</v>
      </c>
      <c r="C202" s="8" t="s">
        <v>1162</v>
      </c>
      <c r="D202" s="39" t="s">
        <v>699</v>
      </c>
      <c r="E202" s="73">
        <v>2017</v>
      </c>
      <c r="G202" s="45" t="s">
        <v>427</v>
      </c>
      <c r="H202" s="8" t="s">
        <v>1164</v>
      </c>
      <c r="I202" s="8" t="s">
        <v>1163</v>
      </c>
    </row>
    <row r="203" spans="1:16" ht="55.05" customHeight="1" x14ac:dyDescent="0.3">
      <c r="A203" s="39" t="s">
        <v>749</v>
      </c>
      <c r="B203" s="8" t="s">
        <v>574</v>
      </c>
      <c r="C203" s="8" t="s">
        <v>619</v>
      </c>
      <c r="D203" s="39" t="s">
        <v>661</v>
      </c>
      <c r="E203" s="73">
        <v>2021</v>
      </c>
      <c r="F203" s="1" t="s">
        <v>880</v>
      </c>
      <c r="G203" s="45" t="s">
        <v>427</v>
      </c>
      <c r="H203" s="8" t="s">
        <v>1084</v>
      </c>
      <c r="I203" s="8" t="s">
        <v>1083</v>
      </c>
    </row>
    <row r="204" spans="1:16" ht="55.05" customHeight="1" x14ac:dyDescent="0.3">
      <c r="A204" s="39" t="s">
        <v>749</v>
      </c>
      <c r="B204" s="8" t="s">
        <v>587</v>
      </c>
      <c r="C204" s="8" t="s">
        <v>896</v>
      </c>
      <c r="D204" s="39" t="s">
        <v>649</v>
      </c>
      <c r="E204" s="73">
        <v>2024</v>
      </c>
      <c r="F204" s="10" t="s">
        <v>895</v>
      </c>
      <c r="G204" s="45" t="s">
        <v>22</v>
      </c>
      <c r="H204" s="8" t="s">
        <v>941</v>
      </c>
      <c r="I204" s="8" t="s">
        <v>893</v>
      </c>
      <c r="P204" s="45" t="str">
        <f>IF(OR(E205&lt;2007, E205&gt;2025), "Error", "OK")</f>
        <v>OK</v>
      </c>
    </row>
    <row r="205" spans="1:16" ht="55.05" customHeight="1" x14ac:dyDescent="0.3">
      <c r="A205" s="39" t="s">
        <v>749</v>
      </c>
      <c r="B205" s="8" t="s">
        <v>1455</v>
      </c>
      <c r="C205" s="8" t="s">
        <v>588</v>
      </c>
      <c r="D205" s="39" t="s">
        <v>651</v>
      </c>
      <c r="E205" s="73">
        <v>2025</v>
      </c>
      <c r="F205" s="10" t="s">
        <v>894</v>
      </c>
      <c r="G205" s="45" t="s">
        <v>1410</v>
      </c>
      <c r="H205" s="8" t="s">
        <v>1456</v>
      </c>
      <c r="I205" s="90" t="s">
        <v>1455</v>
      </c>
    </row>
    <row r="206" spans="1:16" ht="55.05" customHeight="1" x14ac:dyDescent="0.3">
      <c r="A206" s="39" t="s">
        <v>749</v>
      </c>
      <c r="B206" s="8" t="s">
        <v>1185</v>
      </c>
      <c r="C206" s="8" t="s">
        <v>778</v>
      </c>
      <c r="D206" s="39" t="s">
        <v>760</v>
      </c>
      <c r="E206" s="73">
        <v>2023</v>
      </c>
      <c r="G206" s="45" t="s">
        <v>1159</v>
      </c>
      <c r="H206" s="8" t="s">
        <v>1186</v>
      </c>
      <c r="I206" s="8" t="s">
        <v>1187</v>
      </c>
    </row>
    <row r="207" spans="1:16" ht="55.05" customHeight="1" x14ac:dyDescent="0.3">
      <c r="A207" s="39" t="s">
        <v>749</v>
      </c>
      <c r="B207" s="8" t="s">
        <v>953</v>
      </c>
      <c r="C207" s="8" t="s">
        <v>945</v>
      </c>
      <c r="D207" s="39" t="s">
        <v>789</v>
      </c>
      <c r="E207" s="73">
        <v>2024</v>
      </c>
      <c r="G207" s="45" t="s">
        <v>946</v>
      </c>
      <c r="H207" s="8" t="s">
        <v>1289</v>
      </c>
      <c r="I207" s="8" t="s">
        <v>954</v>
      </c>
      <c r="P207" s="45" t="str">
        <f>IF(OR(E208&lt;2007, E208&gt;2025), "Error", "OK")</f>
        <v>OK</v>
      </c>
    </row>
    <row r="208" spans="1:16" ht="55.05" customHeight="1" x14ac:dyDescent="0.3">
      <c r="A208" s="39" t="s">
        <v>749</v>
      </c>
      <c r="B208" s="8" t="s">
        <v>1474</v>
      </c>
      <c r="C208" s="8" t="s">
        <v>1475</v>
      </c>
      <c r="D208" s="39" t="s">
        <v>622</v>
      </c>
      <c r="E208" s="73">
        <v>2021</v>
      </c>
      <c r="F208" s="10" t="s">
        <v>598</v>
      </c>
      <c r="G208" s="45" t="s">
        <v>1410</v>
      </c>
      <c r="H208" s="8" t="s">
        <v>1476</v>
      </c>
      <c r="I208" s="90" t="s">
        <v>1474</v>
      </c>
    </row>
    <row r="209" spans="1:9" ht="55.05" customHeight="1" x14ac:dyDescent="0.3">
      <c r="A209" s="39" t="s">
        <v>749</v>
      </c>
      <c r="B209" s="8" t="s">
        <v>1043</v>
      </c>
      <c r="C209" s="8" t="s">
        <v>768</v>
      </c>
      <c r="D209" s="39" t="s">
        <v>760</v>
      </c>
      <c r="E209" s="73">
        <v>2024</v>
      </c>
      <c r="G209" s="45" t="s">
        <v>946</v>
      </c>
      <c r="H209" s="8" t="s">
        <v>1042</v>
      </c>
      <c r="I209" s="8" t="s">
        <v>1046</v>
      </c>
    </row>
    <row r="210" spans="1:9" ht="55.05" customHeight="1" x14ac:dyDescent="0.3">
      <c r="A210" s="39" t="s">
        <v>749</v>
      </c>
      <c r="B210" s="8" t="s">
        <v>874</v>
      </c>
      <c r="C210" s="8" t="s">
        <v>1168</v>
      </c>
      <c r="D210" s="39" t="s">
        <v>760</v>
      </c>
      <c r="E210" s="73">
        <v>2022</v>
      </c>
      <c r="G210" s="45" t="s">
        <v>427</v>
      </c>
      <c r="H210" s="8" t="s">
        <v>1169</v>
      </c>
      <c r="I210" s="8" t="s">
        <v>1167</v>
      </c>
    </row>
    <row r="211" spans="1:9" ht="55.05" customHeight="1" x14ac:dyDescent="0.3">
      <c r="A211" s="39" t="s">
        <v>749</v>
      </c>
      <c r="B211" s="8" t="s">
        <v>876</v>
      </c>
      <c r="C211" s="8" t="s">
        <v>858</v>
      </c>
      <c r="D211" s="39" t="s">
        <v>849</v>
      </c>
      <c r="E211" s="73">
        <v>2021</v>
      </c>
      <c r="F211" s="10" t="s">
        <v>596</v>
      </c>
      <c r="G211" s="45" t="s">
        <v>12</v>
      </c>
      <c r="H211" s="8" t="s">
        <v>1086</v>
      </c>
      <c r="I211" s="8" t="s">
        <v>1085</v>
      </c>
    </row>
    <row r="212" spans="1:9" ht="55.05" customHeight="1" x14ac:dyDescent="0.3">
      <c r="A212" s="39" t="s">
        <v>748</v>
      </c>
      <c r="B212" s="8" t="s">
        <v>820</v>
      </c>
      <c r="C212" s="8" t="s">
        <v>821</v>
      </c>
      <c r="D212" s="39" t="s">
        <v>701</v>
      </c>
      <c r="E212" s="73">
        <v>2018</v>
      </c>
      <c r="G212" s="45" t="s">
        <v>946</v>
      </c>
      <c r="H212" s="8" t="s">
        <v>957</v>
      </c>
      <c r="I212" s="8" t="s">
        <v>956</v>
      </c>
    </row>
    <row r="213" spans="1:9" ht="55.05" customHeight="1" x14ac:dyDescent="0.3">
      <c r="A213" s="39" t="s">
        <v>748</v>
      </c>
      <c r="B213" s="8" t="s">
        <v>1304</v>
      </c>
      <c r="C213" s="8" t="s">
        <v>1305</v>
      </c>
      <c r="D213" s="39" t="s">
        <v>687</v>
      </c>
      <c r="E213" s="73">
        <v>2020</v>
      </c>
      <c r="G213" s="45" t="s">
        <v>978</v>
      </c>
      <c r="H213" s="8" t="s">
        <v>1306</v>
      </c>
      <c r="I213" s="8" t="s">
        <v>979</v>
      </c>
    </row>
    <row r="214" spans="1:9" ht="55.05" customHeight="1" x14ac:dyDescent="0.3">
      <c r="A214" s="39" t="s">
        <v>748</v>
      </c>
      <c r="B214" s="8" t="s">
        <v>665</v>
      </c>
      <c r="C214" s="8" t="s">
        <v>666</v>
      </c>
      <c r="D214" s="39" t="s">
        <v>667</v>
      </c>
      <c r="E214" s="73">
        <v>2018</v>
      </c>
      <c r="G214" s="45" t="s">
        <v>946</v>
      </c>
      <c r="H214" s="8" t="s">
        <v>962</v>
      </c>
      <c r="I214" s="8" t="s">
        <v>961</v>
      </c>
    </row>
    <row r="215" spans="1:9" ht="55.05" customHeight="1" x14ac:dyDescent="0.3">
      <c r="A215" s="39" t="s">
        <v>748</v>
      </c>
      <c r="B215" s="8" t="s">
        <v>706</v>
      </c>
      <c r="C215" s="8" t="s">
        <v>1275</v>
      </c>
      <c r="D215" s="39" t="s">
        <v>701</v>
      </c>
      <c r="E215" s="73">
        <v>2017</v>
      </c>
      <c r="G215" s="45" t="s">
        <v>427</v>
      </c>
      <c r="H215" s="8" t="s">
        <v>1276</v>
      </c>
      <c r="I215" s="8" t="s">
        <v>963</v>
      </c>
    </row>
    <row r="216" spans="1:9" ht="55.05" customHeight="1" x14ac:dyDescent="0.3">
      <c r="A216" s="39" t="s">
        <v>748</v>
      </c>
      <c r="B216" s="8" t="s">
        <v>787</v>
      </c>
      <c r="C216" s="8" t="s">
        <v>761</v>
      </c>
      <c r="D216" s="39" t="s">
        <v>760</v>
      </c>
      <c r="E216" s="73">
        <v>2017</v>
      </c>
      <c r="G216" s="45" t="s">
        <v>427</v>
      </c>
      <c r="H216" s="8" t="s">
        <v>1326</v>
      </c>
      <c r="I216" s="8" t="s">
        <v>964</v>
      </c>
    </row>
    <row r="217" spans="1:9" ht="55.05" customHeight="1" x14ac:dyDescent="0.3">
      <c r="A217" s="39" t="s">
        <v>748</v>
      </c>
      <c r="B217" s="8" t="s">
        <v>764</v>
      </c>
      <c r="C217" s="8" t="s">
        <v>591</v>
      </c>
      <c r="D217" s="39" t="s">
        <v>760</v>
      </c>
      <c r="E217" s="73">
        <v>2017</v>
      </c>
      <c r="G217" s="45" t="s">
        <v>967</v>
      </c>
      <c r="H217" s="8" t="s">
        <v>1253</v>
      </c>
      <c r="I217" s="8" t="s">
        <v>966</v>
      </c>
    </row>
    <row r="218" spans="1:9" ht="55.05" customHeight="1" x14ac:dyDescent="0.3">
      <c r="A218" s="39" t="s">
        <v>748</v>
      </c>
      <c r="B218" s="8" t="s">
        <v>697</v>
      </c>
      <c r="C218" s="8" t="s">
        <v>698</v>
      </c>
      <c r="D218" s="39" t="s">
        <v>699</v>
      </c>
      <c r="E218" s="73">
        <v>2019</v>
      </c>
      <c r="F218" s="10" t="s">
        <v>912</v>
      </c>
      <c r="G218" s="45" t="s">
        <v>427</v>
      </c>
      <c r="H218" s="8" t="s">
        <v>968</v>
      </c>
      <c r="I218" s="8" t="s">
        <v>965</v>
      </c>
    </row>
    <row r="219" spans="1:9" ht="55.05" customHeight="1" x14ac:dyDescent="0.3">
      <c r="A219" s="39" t="s">
        <v>748</v>
      </c>
      <c r="B219" s="8" t="s">
        <v>694</v>
      </c>
      <c r="C219" s="8" t="s">
        <v>695</v>
      </c>
      <c r="D219" s="39" t="s">
        <v>696</v>
      </c>
      <c r="E219" s="73">
        <v>2018</v>
      </c>
      <c r="F219" s="10" t="s">
        <v>927</v>
      </c>
      <c r="G219" s="45" t="s">
        <v>946</v>
      </c>
      <c r="H219" s="8" t="s">
        <v>970</v>
      </c>
      <c r="I219" s="8" t="s">
        <v>969</v>
      </c>
    </row>
    <row r="220" spans="1:9" ht="55.05" customHeight="1" x14ac:dyDescent="0.3">
      <c r="A220" s="39" t="s">
        <v>748</v>
      </c>
      <c r="B220" s="8" t="s">
        <v>707</v>
      </c>
      <c r="C220" s="8" t="s">
        <v>708</v>
      </c>
      <c r="D220" s="39" t="s">
        <v>701</v>
      </c>
      <c r="E220" s="73">
        <v>2018</v>
      </c>
      <c r="F220" s="10" t="s">
        <v>920</v>
      </c>
      <c r="G220" s="45" t="s">
        <v>22</v>
      </c>
      <c r="H220" s="8" t="s">
        <v>975</v>
      </c>
      <c r="I220" s="8" t="s">
        <v>973</v>
      </c>
    </row>
    <row r="221" spans="1:9" ht="55.05" customHeight="1" x14ac:dyDescent="0.3">
      <c r="A221" s="39" t="s">
        <v>748</v>
      </c>
      <c r="B221" s="8" t="s">
        <v>1328</v>
      </c>
      <c r="C221" s="8" t="s">
        <v>852</v>
      </c>
      <c r="D221" s="39" t="s">
        <v>789</v>
      </c>
      <c r="E221" s="73">
        <v>2021</v>
      </c>
      <c r="F221" s="10" t="s">
        <v>883</v>
      </c>
      <c r="G221" s="45" t="s">
        <v>967</v>
      </c>
      <c r="H221" s="8" t="s">
        <v>1329</v>
      </c>
      <c r="I221" s="8" t="s">
        <v>1039</v>
      </c>
    </row>
    <row r="222" spans="1:9" ht="55.05" customHeight="1" x14ac:dyDescent="0.3">
      <c r="A222" s="39" t="s">
        <v>748</v>
      </c>
      <c r="B222" s="8" t="s">
        <v>794</v>
      </c>
      <c r="C222" s="8" t="s">
        <v>795</v>
      </c>
      <c r="D222" s="39" t="s">
        <v>760</v>
      </c>
      <c r="E222" s="73">
        <v>2017</v>
      </c>
      <c r="G222" s="45" t="s">
        <v>976</v>
      </c>
      <c r="H222" s="8" t="s">
        <v>977</v>
      </c>
      <c r="I222" s="8" t="s">
        <v>974</v>
      </c>
    </row>
    <row r="223" spans="1:9" ht="55.05" customHeight="1" x14ac:dyDescent="0.3">
      <c r="A223" s="39" t="s">
        <v>748</v>
      </c>
      <c r="B223" s="8" t="s">
        <v>940</v>
      </c>
      <c r="C223" s="8" t="s">
        <v>648</v>
      </c>
      <c r="D223" s="39" t="s">
        <v>649</v>
      </c>
      <c r="E223" s="73">
        <v>2019</v>
      </c>
      <c r="F223" s="10" t="s">
        <v>918</v>
      </c>
      <c r="G223" s="45" t="s">
        <v>427</v>
      </c>
      <c r="H223" s="8" t="s">
        <v>1300</v>
      </c>
      <c r="I223" s="8" t="s">
        <v>939</v>
      </c>
    </row>
    <row r="224" spans="1:9" ht="55.05" customHeight="1" x14ac:dyDescent="0.3">
      <c r="A224" s="39" t="s">
        <v>748</v>
      </c>
      <c r="B224" s="8" t="s">
        <v>765</v>
      </c>
      <c r="C224" s="8" t="s">
        <v>766</v>
      </c>
      <c r="D224" s="39" t="s">
        <v>760</v>
      </c>
      <c r="E224" s="73">
        <v>2017</v>
      </c>
      <c r="G224" s="45" t="s">
        <v>946</v>
      </c>
      <c r="H224" s="8" t="s">
        <v>1244</v>
      </c>
      <c r="I224" s="8" t="s">
        <v>980</v>
      </c>
    </row>
    <row r="225" spans="1:9" ht="55.05" customHeight="1" x14ac:dyDescent="0.3">
      <c r="A225" s="39" t="s">
        <v>748</v>
      </c>
      <c r="B225" s="8" t="s">
        <v>810</v>
      </c>
      <c r="C225" s="8" t="s">
        <v>811</v>
      </c>
      <c r="D225" s="39" t="s">
        <v>1403</v>
      </c>
      <c r="E225" s="73">
        <v>2018</v>
      </c>
      <c r="G225" s="45" t="s">
        <v>22</v>
      </c>
      <c r="H225" s="8" t="s">
        <v>1107</v>
      </c>
      <c r="I225" s="8" t="s">
        <v>1106</v>
      </c>
    </row>
    <row r="226" spans="1:9" ht="55.05" customHeight="1" x14ac:dyDescent="0.3">
      <c r="A226" s="39" t="s">
        <v>748</v>
      </c>
      <c r="B226" s="8" t="s">
        <v>703</v>
      </c>
      <c r="C226" s="8" t="s">
        <v>1257</v>
      </c>
      <c r="D226" s="39" t="s">
        <v>701</v>
      </c>
      <c r="E226" s="73">
        <v>2017</v>
      </c>
      <c r="G226" s="45" t="s">
        <v>978</v>
      </c>
      <c r="H226" s="8" t="s">
        <v>1260</v>
      </c>
      <c r="I226" s="8" t="s">
        <v>984</v>
      </c>
    </row>
    <row r="227" spans="1:9" ht="55.05" customHeight="1" x14ac:dyDescent="0.3">
      <c r="A227" s="39" t="s">
        <v>748</v>
      </c>
      <c r="B227" s="8" t="s">
        <v>704</v>
      </c>
      <c r="C227" s="8" t="s">
        <v>705</v>
      </c>
      <c r="D227" s="39" t="s">
        <v>701</v>
      </c>
      <c r="E227" s="73">
        <v>2018</v>
      </c>
      <c r="F227" s="10" t="s">
        <v>915</v>
      </c>
      <c r="G227" s="45" t="s">
        <v>946</v>
      </c>
      <c r="H227" s="8" t="s">
        <v>991</v>
      </c>
      <c r="I227" s="8" t="s">
        <v>988</v>
      </c>
    </row>
    <row r="228" spans="1:9" ht="55.05" customHeight="1" x14ac:dyDescent="0.3">
      <c r="A228" s="39" t="s">
        <v>748</v>
      </c>
      <c r="B228" s="8" t="s">
        <v>808</v>
      </c>
      <c r="C228" s="8" t="s">
        <v>809</v>
      </c>
      <c r="D228" s="39" t="s">
        <v>651</v>
      </c>
      <c r="E228" s="73">
        <v>2018</v>
      </c>
      <c r="G228" s="45" t="s">
        <v>427</v>
      </c>
      <c r="H228" s="8" t="s">
        <v>1109</v>
      </c>
      <c r="I228" s="8" t="s">
        <v>1108</v>
      </c>
    </row>
    <row r="229" spans="1:9" ht="55.05" customHeight="1" x14ac:dyDescent="0.3">
      <c r="A229" s="39" t="s">
        <v>748</v>
      </c>
      <c r="B229" s="8" t="s">
        <v>657</v>
      </c>
      <c r="C229" s="8" t="s">
        <v>658</v>
      </c>
      <c r="D229" s="39" t="s">
        <v>654</v>
      </c>
      <c r="E229" s="73">
        <v>2018</v>
      </c>
      <c r="G229" s="45" t="s">
        <v>946</v>
      </c>
      <c r="H229" s="8" t="s">
        <v>1073</v>
      </c>
      <c r="I229" s="8" t="s">
        <v>1072</v>
      </c>
    </row>
    <row r="230" spans="1:9" ht="55.05" customHeight="1" x14ac:dyDescent="0.3">
      <c r="A230" s="39" t="s">
        <v>748</v>
      </c>
      <c r="B230" s="8" t="s">
        <v>812</v>
      </c>
      <c r="C230" s="8" t="s">
        <v>813</v>
      </c>
      <c r="D230" s="39" t="s">
        <v>661</v>
      </c>
      <c r="E230" s="73">
        <v>2018</v>
      </c>
      <c r="F230" s="10" t="s">
        <v>928</v>
      </c>
      <c r="G230" s="45" t="s">
        <v>967</v>
      </c>
      <c r="H230" s="8" t="s">
        <v>995</v>
      </c>
      <c r="I230" s="8" t="s">
        <v>994</v>
      </c>
    </row>
    <row r="231" spans="1:9" ht="55.05" customHeight="1" x14ac:dyDescent="0.3">
      <c r="A231" s="39" t="s">
        <v>748</v>
      </c>
      <c r="B231" s="8" t="s">
        <v>779</v>
      </c>
      <c r="C231" s="8" t="s">
        <v>780</v>
      </c>
      <c r="D231" s="39" t="s">
        <v>760</v>
      </c>
      <c r="E231" s="73">
        <v>2017</v>
      </c>
      <c r="G231" s="45" t="s">
        <v>1001</v>
      </c>
      <c r="H231" s="8" t="s">
        <v>1340</v>
      </c>
      <c r="I231" s="8" t="s">
        <v>1002</v>
      </c>
    </row>
    <row r="232" spans="1:9" ht="55.05" customHeight="1" x14ac:dyDescent="0.3">
      <c r="A232" s="39" t="s">
        <v>748</v>
      </c>
      <c r="B232" s="8" t="s">
        <v>688</v>
      </c>
      <c r="C232" s="8" t="s">
        <v>689</v>
      </c>
      <c r="D232" s="39" t="s">
        <v>690</v>
      </c>
      <c r="E232" s="73">
        <v>2018</v>
      </c>
      <c r="F232" s="10" t="s">
        <v>884</v>
      </c>
      <c r="G232" s="45" t="s">
        <v>427</v>
      </c>
      <c r="H232" s="8" t="s">
        <v>1005</v>
      </c>
      <c r="I232" s="8" t="s">
        <v>1004</v>
      </c>
    </row>
    <row r="233" spans="1:9" ht="55.05" customHeight="1" x14ac:dyDescent="0.3">
      <c r="A233" s="39" t="s">
        <v>748</v>
      </c>
      <c r="B233" s="8" t="s">
        <v>672</v>
      </c>
      <c r="C233" s="8" t="s">
        <v>673</v>
      </c>
      <c r="D233" s="39" t="s">
        <v>674</v>
      </c>
      <c r="E233" s="73">
        <v>2018</v>
      </c>
      <c r="F233" s="10" t="s">
        <v>921</v>
      </c>
      <c r="G233" s="45" t="s">
        <v>427</v>
      </c>
      <c r="H233" s="8" t="s">
        <v>1067</v>
      </c>
      <c r="I233" s="8" t="s">
        <v>1003</v>
      </c>
    </row>
    <row r="234" spans="1:9" ht="55.05" customHeight="1" x14ac:dyDescent="0.3">
      <c r="A234" s="39" t="s">
        <v>748</v>
      </c>
      <c r="B234" s="8" t="s">
        <v>679</v>
      </c>
      <c r="C234" s="8" t="s">
        <v>680</v>
      </c>
      <c r="D234" s="39" t="s">
        <v>621</v>
      </c>
      <c r="E234" s="73">
        <v>2017</v>
      </c>
      <c r="F234" s="10" t="s">
        <v>885</v>
      </c>
      <c r="G234" s="45" t="s">
        <v>427</v>
      </c>
      <c r="H234" s="8" t="s">
        <v>1012</v>
      </c>
      <c r="I234" s="8" t="s">
        <v>1011</v>
      </c>
    </row>
    <row r="235" spans="1:9" ht="55.05" customHeight="1" x14ac:dyDescent="0.3">
      <c r="A235" s="39" t="s">
        <v>748</v>
      </c>
      <c r="B235" s="8" t="s">
        <v>686</v>
      </c>
      <c r="C235" s="8" t="s">
        <v>1258</v>
      </c>
      <c r="D235" s="39" t="s">
        <v>685</v>
      </c>
      <c r="E235" s="73">
        <v>2018</v>
      </c>
      <c r="G235" s="45" t="s">
        <v>427</v>
      </c>
      <c r="H235" s="8" t="s">
        <v>1261</v>
      </c>
      <c r="I235" s="8" t="s">
        <v>1013</v>
      </c>
    </row>
    <row r="236" spans="1:9" ht="55.05" customHeight="1" x14ac:dyDescent="0.3">
      <c r="A236" s="39" t="s">
        <v>748</v>
      </c>
      <c r="B236" s="8" t="s">
        <v>1018</v>
      </c>
      <c r="C236" s="8" t="s">
        <v>797</v>
      </c>
      <c r="D236" s="39" t="s">
        <v>760</v>
      </c>
      <c r="E236" s="73">
        <v>2017</v>
      </c>
      <c r="G236" s="45" t="s">
        <v>1021</v>
      </c>
      <c r="H236" s="8" t="s">
        <v>1019</v>
      </c>
      <c r="I236" s="8" t="s">
        <v>1020</v>
      </c>
    </row>
    <row r="237" spans="1:9" ht="55.05" customHeight="1" x14ac:dyDescent="0.3">
      <c r="A237" s="39" t="s">
        <v>748</v>
      </c>
      <c r="B237" s="8" t="s">
        <v>716</v>
      </c>
      <c r="C237" s="8" t="s">
        <v>717</v>
      </c>
      <c r="D237" s="39" t="s">
        <v>701</v>
      </c>
      <c r="E237" s="73">
        <v>2018</v>
      </c>
      <c r="F237" s="10" t="s">
        <v>929</v>
      </c>
      <c r="G237" s="45" t="s">
        <v>1023</v>
      </c>
      <c r="H237" s="8" t="s">
        <v>1252</v>
      </c>
      <c r="I237" s="8" t="s">
        <v>1024</v>
      </c>
    </row>
    <row r="238" spans="1:9" ht="55.05" customHeight="1" x14ac:dyDescent="0.3">
      <c r="A238" s="39" t="s">
        <v>748</v>
      </c>
      <c r="B238" s="8" t="s">
        <v>1287</v>
      </c>
      <c r="C238" s="8" t="s">
        <v>1285</v>
      </c>
      <c r="D238" s="39" t="s">
        <v>760</v>
      </c>
      <c r="E238" s="73">
        <v>2017</v>
      </c>
      <c r="G238" s="45" t="s">
        <v>1026</v>
      </c>
      <c r="H238" s="8" t="s">
        <v>1286</v>
      </c>
      <c r="I238" s="8" t="s">
        <v>1025</v>
      </c>
    </row>
    <row r="239" spans="1:9" ht="55.05" customHeight="1" x14ac:dyDescent="0.3">
      <c r="A239" s="39" t="s">
        <v>748</v>
      </c>
      <c r="B239" s="8" t="s">
        <v>1335</v>
      </c>
      <c r="C239" s="8" t="s">
        <v>1336</v>
      </c>
      <c r="D239" s="39" t="s">
        <v>667</v>
      </c>
      <c r="E239" s="73">
        <v>2017</v>
      </c>
      <c r="G239" s="45" t="s">
        <v>427</v>
      </c>
      <c r="H239" s="8" t="s">
        <v>1337</v>
      </c>
      <c r="I239" s="8" t="s">
        <v>983</v>
      </c>
    </row>
    <row r="240" spans="1:9" ht="55.05" customHeight="1" x14ac:dyDescent="0.3">
      <c r="A240" s="39" t="s">
        <v>748</v>
      </c>
      <c r="B240" s="8" t="s">
        <v>792</v>
      </c>
      <c r="C240" s="8" t="s">
        <v>1247</v>
      </c>
      <c r="D240" s="39" t="s">
        <v>789</v>
      </c>
      <c r="E240" s="73">
        <v>2019</v>
      </c>
      <c r="F240" s="10" t="s">
        <v>919</v>
      </c>
      <c r="G240" s="45" t="s">
        <v>427</v>
      </c>
      <c r="H240" s="8" t="s">
        <v>1248</v>
      </c>
      <c r="I240" s="8" t="s">
        <v>1029</v>
      </c>
    </row>
    <row r="241" spans="1:9" ht="55.05" customHeight="1" x14ac:dyDescent="0.3">
      <c r="A241" s="39" t="s">
        <v>748</v>
      </c>
      <c r="B241" s="8" t="s">
        <v>1277</v>
      </c>
      <c r="C241" s="8" t="s">
        <v>1278</v>
      </c>
      <c r="D241" s="39" t="s">
        <v>760</v>
      </c>
      <c r="E241" s="73">
        <v>2019</v>
      </c>
      <c r="F241" s="10" t="s">
        <v>920</v>
      </c>
      <c r="G241" s="45" t="s">
        <v>434</v>
      </c>
      <c r="H241" s="78" t="s">
        <v>1279</v>
      </c>
      <c r="I241" s="8" t="s">
        <v>1028</v>
      </c>
    </row>
    <row r="242" spans="1:9" ht="55.05" customHeight="1" x14ac:dyDescent="0.3">
      <c r="A242" s="39" t="s">
        <v>748</v>
      </c>
      <c r="B242" s="8" t="s">
        <v>875</v>
      </c>
      <c r="C242" s="8" t="s">
        <v>702</v>
      </c>
      <c r="D242" s="39" t="s">
        <v>701</v>
      </c>
      <c r="E242" s="73">
        <v>2017</v>
      </c>
      <c r="G242" s="45" t="s">
        <v>22</v>
      </c>
      <c r="H242" s="8" t="s">
        <v>1035</v>
      </c>
      <c r="I242" s="8" t="s">
        <v>1033</v>
      </c>
    </row>
    <row r="243" spans="1:9" ht="55.05" customHeight="1" x14ac:dyDescent="0.3">
      <c r="A243" s="39" t="s">
        <v>748</v>
      </c>
      <c r="B243" s="8" t="s">
        <v>670</v>
      </c>
      <c r="C243" s="8" t="s">
        <v>1034</v>
      </c>
      <c r="D243" s="39" t="s">
        <v>671</v>
      </c>
      <c r="E243" s="73">
        <v>2017</v>
      </c>
      <c r="G243" s="45" t="s">
        <v>427</v>
      </c>
      <c r="H243" s="8" t="s">
        <v>1037</v>
      </c>
      <c r="I243" s="8" t="s">
        <v>1036</v>
      </c>
    </row>
    <row r="244" spans="1:9" ht="55.05" customHeight="1" x14ac:dyDescent="0.3">
      <c r="A244" s="39" t="s">
        <v>748</v>
      </c>
      <c r="B244" s="8" t="s">
        <v>663</v>
      </c>
      <c r="C244" s="8" t="s">
        <v>664</v>
      </c>
      <c r="D244" s="39" t="s">
        <v>661</v>
      </c>
      <c r="E244" s="73">
        <v>2014</v>
      </c>
      <c r="G244" s="45" t="s">
        <v>1023</v>
      </c>
      <c r="H244" s="8" t="s">
        <v>1259</v>
      </c>
      <c r="I244" s="8" t="s">
        <v>1038</v>
      </c>
    </row>
    <row r="245" spans="1:9" ht="55.05" customHeight="1" x14ac:dyDescent="0.3">
      <c r="A245" s="39" t="s">
        <v>748</v>
      </c>
      <c r="B245" s="8" t="s">
        <v>1351</v>
      </c>
      <c r="C245" s="8" t="s">
        <v>985</v>
      </c>
      <c r="D245" s="39" t="s">
        <v>789</v>
      </c>
      <c r="E245" s="73">
        <v>2019</v>
      </c>
      <c r="F245" s="10" t="s">
        <v>877</v>
      </c>
      <c r="G245" s="45" t="s">
        <v>967</v>
      </c>
      <c r="H245" s="8" t="s">
        <v>1352</v>
      </c>
      <c r="I245" s="8" t="s">
        <v>1401</v>
      </c>
    </row>
    <row r="246" spans="1:9" ht="55.05" customHeight="1" x14ac:dyDescent="0.3">
      <c r="A246" s="39" t="s">
        <v>748</v>
      </c>
      <c r="B246" s="8" t="s">
        <v>1314</v>
      </c>
      <c r="C246" s="8" t="s">
        <v>1315</v>
      </c>
      <c r="D246" s="39" t="s">
        <v>789</v>
      </c>
      <c r="E246" s="73">
        <v>2018</v>
      </c>
      <c r="F246" s="10" t="s">
        <v>916</v>
      </c>
      <c r="G246" s="45" t="s">
        <v>427</v>
      </c>
      <c r="H246" s="8" t="s">
        <v>1316</v>
      </c>
      <c r="I246" s="8" t="s">
        <v>1040</v>
      </c>
    </row>
    <row r="247" spans="1:9" ht="55.05" customHeight="1" x14ac:dyDescent="0.3">
      <c r="A247" s="39" t="s">
        <v>748</v>
      </c>
      <c r="B247" s="8" t="s">
        <v>774</v>
      </c>
      <c r="C247" s="8" t="s">
        <v>768</v>
      </c>
      <c r="D247" s="39" t="s">
        <v>760</v>
      </c>
      <c r="E247" s="73">
        <v>2018</v>
      </c>
      <c r="G247" s="45" t="s">
        <v>946</v>
      </c>
      <c r="H247" s="8" t="s">
        <v>1044</v>
      </c>
      <c r="I247" s="8" t="s">
        <v>1041</v>
      </c>
    </row>
    <row r="248" spans="1:9" ht="55.05" customHeight="1" x14ac:dyDescent="0.3">
      <c r="A248" s="39" t="s">
        <v>748</v>
      </c>
      <c r="B248" s="8" t="s">
        <v>662</v>
      </c>
      <c r="C248" s="8" t="s">
        <v>1045</v>
      </c>
      <c r="D248" s="39" t="s">
        <v>661</v>
      </c>
      <c r="E248" s="73">
        <v>2018</v>
      </c>
      <c r="G248" s="45" t="s">
        <v>427</v>
      </c>
      <c r="H248" s="8" t="s">
        <v>1243</v>
      </c>
      <c r="I248" s="8" t="s">
        <v>1047</v>
      </c>
    </row>
    <row r="249" spans="1:9" ht="55.05" customHeight="1" x14ac:dyDescent="0.3">
      <c r="A249" s="39" t="s">
        <v>748</v>
      </c>
      <c r="B249" s="8" t="s">
        <v>775</v>
      </c>
      <c r="C249" s="8" t="s">
        <v>776</v>
      </c>
      <c r="D249" s="39" t="s">
        <v>760</v>
      </c>
      <c r="E249" s="73">
        <v>2018</v>
      </c>
      <c r="G249" s="45" t="s">
        <v>972</v>
      </c>
      <c r="H249" s="8" t="s">
        <v>1246</v>
      </c>
      <c r="I249" s="8" t="s">
        <v>1050</v>
      </c>
    </row>
    <row r="250" spans="1:9" ht="55.05" customHeight="1" x14ac:dyDescent="0.3">
      <c r="A250" s="39" t="s">
        <v>748</v>
      </c>
      <c r="B250" s="8" t="s">
        <v>659</v>
      </c>
      <c r="C250" s="8" t="s">
        <v>660</v>
      </c>
      <c r="D250" s="39" t="s">
        <v>661</v>
      </c>
      <c r="E250" s="73">
        <v>2017</v>
      </c>
      <c r="G250" s="45" t="s">
        <v>1080</v>
      </c>
      <c r="H250" s="8" t="s">
        <v>1079</v>
      </c>
      <c r="I250" s="8" t="s">
        <v>1078</v>
      </c>
    </row>
    <row r="251" spans="1:9" ht="55.05" customHeight="1" x14ac:dyDescent="0.3">
      <c r="A251" s="39" t="s">
        <v>748</v>
      </c>
      <c r="B251" s="8" t="s">
        <v>683</v>
      </c>
      <c r="C251" s="8" t="s">
        <v>684</v>
      </c>
      <c r="D251" s="39" t="s">
        <v>685</v>
      </c>
      <c r="E251" s="73">
        <v>2018</v>
      </c>
      <c r="G251" s="45" t="s">
        <v>967</v>
      </c>
      <c r="H251" s="8" t="s">
        <v>1140</v>
      </c>
      <c r="I251" s="8" t="s">
        <v>1139</v>
      </c>
    </row>
    <row r="252" spans="1:9" ht="55.05" customHeight="1" x14ac:dyDescent="0.3">
      <c r="A252" s="39" t="s">
        <v>748</v>
      </c>
      <c r="B252" s="8" t="s">
        <v>767</v>
      </c>
      <c r="C252" s="8" t="s">
        <v>768</v>
      </c>
      <c r="D252" s="39" t="s">
        <v>760</v>
      </c>
      <c r="E252" s="73">
        <v>2018</v>
      </c>
      <c r="F252" s="10" t="s">
        <v>892</v>
      </c>
      <c r="G252" s="45" t="s">
        <v>1159</v>
      </c>
      <c r="H252" s="8" t="s">
        <v>1180</v>
      </c>
      <c r="I252" s="8" t="s">
        <v>1179</v>
      </c>
    </row>
    <row r="253" spans="1:9" ht="55.05" customHeight="1" x14ac:dyDescent="0.3">
      <c r="A253" s="39" t="s">
        <v>748</v>
      </c>
      <c r="B253" s="8" t="s">
        <v>709</v>
      </c>
      <c r="C253" s="8" t="s">
        <v>710</v>
      </c>
      <c r="D253" s="39" t="s">
        <v>701</v>
      </c>
      <c r="E253" s="73">
        <v>2018</v>
      </c>
      <c r="F253" s="10" t="s">
        <v>924</v>
      </c>
      <c r="G253" s="45" t="s">
        <v>427</v>
      </c>
      <c r="H253" s="8" t="s">
        <v>1153</v>
      </c>
      <c r="I253" s="8" t="s">
        <v>1151</v>
      </c>
    </row>
    <row r="254" spans="1:9" ht="55.05" customHeight="1" x14ac:dyDescent="0.3">
      <c r="A254" s="39" t="s">
        <v>748</v>
      </c>
      <c r="B254" s="8" t="s">
        <v>777</v>
      </c>
      <c r="C254" s="8" t="s">
        <v>778</v>
      </c>
      <c r="D254" s="39" t="s">
        <v>760</v>
      </c>
      <c r="E254" s="73">
        <v>2018</v>
      </c>
      <c r="G254" s="45" t="s">
        <v>604</v>
      </c>
      <c r="H254" s="8" t="s">
        <v>1186</v>
      </c>
      <c r="I254" s="8" t="s">
        <v>1188</v>
      </c>
    </row>
    <row r="255" spans="1:9" ht="55.05" customHeight="1" x14ac:dyDescent="0.3">
      <c r="A255" s="39" t="s">
        <v>748</v>
      </c>
      <c r="B255" s="8" t="s">
        <v>798</v>
      </c>
      <c r="C255" s="8" t="s">
        <v>799</v>
      </c>
      <c r="D255" s="39" t="s">
        <v>760</v>
      </c>
      <c r="E255" s="73">
        <v>2017</v>
      </c>
      <c r="G255" s="45" t="s">
        <v>946</v>
      </c>
      <c r="H255" s="8" t="s">
        <v>1111</v>
      </c>
      <c r="I255" s="8" t="s">
        <v>1110</v>
      </c>
    </row>
    <row r="256" spans="1:9" ht="55.05" customHeight="1" x14ac:dyDescent="0.3">
      <c r="A256" s="39" t="s">
        <v>748</v>
      </c>
      <c r="B256" s="8" t="s">
        <v>755</v>
      </c>
      <c r="C256" s="8" t="s">
        <v>675</v>
      </c>
      <c r="D256" s="39" t="s">
        <v>676</v>
      </c>
      <c r="E256" s="73">
        <v>2018</v>
      </c>
      <c r="G256" s="45" t="s">
        <v>427</v>
      </c>
      <c r="H256" s="8" t="s">
        <v>1130</v>
      </c>
      <c r="I256" s="8" t="s">
        <v>1129</v>
      </c>
    </row>
    <row r="257" spans="1:9" ht="55.05" customHeight="1" x14ac:dyDescent="0.3">
      <c r="A257" s="39" t="s">
        <v>748</v>
      </c>
      <c r="B257" s="8" t="s">
        <v>1031</v>
      </c>
      <c r="C257" s="8" t="s">
        <v>1030</v>
      </c>
      <c r="D257" s="39" t="s">
        <v>701</v>
      </c>
      <c r="E257" s="73">
        <v>2017</v>
      </c>
      <c r="G257" s="45" t="s">
        <v>1001</v>
      </c>
      <c r="H257" s="8" t="s">
        <v>1032</v>
      </c>
      <c r="I257" s="8" t="s">
        <v>1027</v>
      </c>
    </row>
    <row r="258" spans="1:9" ht="55.05" customHeight="1" x14ac:dyDescent="0.3">
      <c r="A258" s="39" t="s">
        <v>748</v>
      </c>
      <c r="B258" s="8" t="s">
        <v>714</v>
      </c>
      <c r="C258" s="8" t="s">
        <v>715</v>
      </c>
      <c r="D258" s="39" t="s">
        <v>701</v>
      </c>
      <c r="E258" s="73">
        <v>2017</v>
      </c>
      <c r="G258" s="45" t="s">
        <v>427</v>
      </c>
      <c r="H258" s="8" t="s">
        <v>1154</v>
      </c>
      <c r="I258" s="8" t="s">
        <v>1152</v>
      </c>
    </row>
    <row r="259" spans="1:9" ht="55.05" customHeight="1" x14ac:dyDescent="0.3">
      <c r="A259" s="39" t="s">
        <v>748</v>
      </c>
      <c r="B259" s="8" t="s">
        <v>868</v>
      </c>
      <c r="C259" s="8" t="s">
        <v>802</v>
      </c>
      <c r="D259" s="39" t="s">
        <v>701</v>
      </c>
      <c r="E259" s="73">
        <v>2018</v>
      </c>
      <c r="G259" s="45" t="s">
        <v>22</v>
      </c>
      <c r="H259" s="8" t="s">
        <v>1113</v>
      </c>
      <c r="I259" s="8" t="s">
        <v>1112</v>
      </c>
    </row>
    <row r="260" spans="1:9" ht="55.05" customHeight="1" x14ac:dyDescent="0.3">
      <c r="A260" s="39" t="s">
        <v>748</v>
      </c>
      <c r="B260" s="8" t="s">
        <v>578</v>
      </c>
      <c r="C260" s="8" t="s">
        <v>617</v>
      </c>
      <c r="D260" s="39" t="s">
        <v>760</v>
      </c>
      <c r="E260" s="73">
        <v>2018</v>
      </c>
      <c r="F260" s="10" t="s">
        <v>878</v>
      </c>
      <c r="G260" s="45" t="s">
        <v>604</v>
      </c>
      <c r="I260" s="8" t="s">
        <v>609</v>
      </c>
    </row>
    <row r="261" spans="1:9" ht="55.05" customHeight="1" x14ac:dyDescent="0.3">
      <c r="A261" s="39" t="s">
        <v>748</v>
      </c>
      <c r="B261" s="8" t="s">
        <v>691</v>
      </c>
      <c r="C261" s="8" t="s">
        <v>692</v>
      </c>
      <c r="D261" s="39" t="s">
        <v>693</v>
      </c>
      <c r="E261" s="73">
        <v>2019</v>
      </c>
      <c r="G261" s="92" t="s">
        <v>427</v>
      </c>
      <c r="H261" s="78" t="s">
        <v>1245</v>
      </c>
      <c r="I261" s="8" t="s">
        <v>1066</v>
      </c>
    </row>
    <row r="262" spans="1:9" ht="55.05" customHeight="1" x14ac:dyDescent="0.3">
      <c r="A262" s="39" t="s">
        <v>748</v>
      </c>
      <c r="B262" s="8" t="s">
        <v>1265</v>
      </c>
      <c r="C262" s="8" t="s">
        <v>1274</v>
      </c>
      <c r="D262" s="39" t="s">
        <v>789</v>
      </c>
      <c r="E262" s="73">
        <v>2018</v>
      </c>
      <c r="F262" s="10" t="s">
        <v>931</v>
      </c>
      <c r="G262" s="45" t="s">
        <v>972</v>
      </c>
      <c r="H262" s="8" t="s">
        <v>1270</v>
      </c>
      <c r="I262" s="8" t="s">
        <v>971</v>
      </c>
    </row>
    <row r="263" spans="1:9" ht="55.05" customHeight="1" x14ac:dyDescent="0.3">
      <c r="A263" s="39" t="s">
        <v>748</v>
      </c>
      <c r="B263" s="8" t="s">
        <v>869</v>
      </c>
      <c r="C263" s="8" t="s">
        <v>786</v>
      </c>
      <c r="D263" s="39" t="s">
        <v>760</v>
      </c>
      <c r="E263" s="73">
        <v>2016</v>
      </c>
      <c r="G263" s="45" t="s">
        <v>427</v>
      </c>
      <c r="H263" s="8" t="s">
        <v>1195</v>
      </c>
      <c r="I263" s="8" t="s">
        <v>1194</v>
      </c>
    </row>
    <row r="264" spans="1:9" ht="55.05" customHeight="1" x14ac:dyDescent="0.3">
      <c r="A264" s="39" t="s">
        <v>748</v>
      </c>
      <c r="B264" s="8" t="s">
        <v>769</v>
      </c>
      <c r="C264" s="8" t="s">
        <v>770</v>
      </c>
      <c r="D264" s="39" t="s">
        <v>760</v>
      </c>
      <c r="E264" s="73">
        <v>2018</v>
      </c>
      <c r="G264" s="45" t="s">
        <v>1159</v>
      </c>
      <c r="H264" s="8" t="s">
        <v>1196</v>
      </c>
      <c r="I264" s="8" t="s">
        <v>1197</v>
      </c>
    </row>
    <row r="265" spans="1:9" ht="55.05" customHeight="1" x14ac:dyDescent="0.3">
      <c r="A265" s="39" t="s">
        <v>748</v>
      </c>
      <c r="B265" s="8" t="s">
        <v>771</v>
      </c>
      <c r="C265" s="8" t="s">
        <v>616</v>
      </c>
      <c r="D265" s="39" t="s">
        <v>760</v>
      </c>
      <c r="E265" s="73">
        <v>2018</v>
      </c>
      <c r="F265" s="10" t="s">
        <v>922</v>
      </c>
      <c r="G265" s="45" t="s">
        <v>1159</v>
      </c>
      <c r="H265" s="8" t="s">
        <v>1199</v>
      </c>
      <c r="I265" s="8" t="s">
        <v>1198</v>
      </c>
    </row>
    <row r="266" spans="1:9" ht="55.05" customHeight="1" x14ac:dyDescent="0.3">
      <c r="A266" s="39" t="s">
        <v>748</v>
      </c>
      <c r="B266" s="8" t="s">
        <v>1349</v>
      </c>
      <c r="C266" s="8" t="s">
        <v>816</v>
      </c>
      <c r="D266" s="39" t="s">
        <v>760</v>
      </c>
      <c r="E266" s="73">
        <v>2016</v>
      </c>
      <c r="F266" s="1" t="s">
        <v>879</v>
      </c>
      <c r="G266" s="45" t="s">
        <v>604</v>
      </c>
      <c r="H266" s="8" t="s">
        <v>1273</v>
      </c>
      <c r="I266" s="8" t="s">
        <v>610</v>
      </c>
    </row>
    <row r="267" spans="1:9" ht="55.05" customHeight="1" x14ac:dyDescent="0.3">
      <c r="A267" s="39" t="s">
        <v>748</v>
      </c>
      <c r="B267" s="8" t="s">
        <v>772</v>
      </c>
      <c r="C267" s="8" t="s">
        <v>773</v>
      </c>
      <c r="D267" s="39" t="s">
        <v>760</v>
      </c>
      <c r="E267" s="73">
        <v>2018</v>
      </c>
      <c r="F267" s="10" t="s">
        <v>923</v>
      </c>
      <c r="G267" s="45" t="s">
        <v>434</v>
      </c>
      <c r="H267" s="8" t="s">
        <v>1204</v>
      </c>
      <c r="I267" s="8" t="s">
        <v>1200</v>
      </c>
    </row>
    <row r="268" spans="1:9" ht="55.05" customHeight="1" x14ac:dyDescent="0.3">
      <c r="A268" s="39" t="s">
        <v>748</v>
      </c>
      <c r="B268" s="8" t="s">
        <v>788</v>
      </c>
      <c r="C268" s="8" t="s">
        <v>1249</v>
      </c>
      <c r="D268" s="39" t="s">
        <v>789</v>
      </c>
      <c r="E268" s="73">
        <v>2016</v>
      </c>
      <c r="G268" s="45" t="s">
        <v>427</v>
      </c>
      <c r="H268" s="78" t="s">
        <v>1250</v>
      </c>
      <c r="I268" s="8" t="s">
        <v>955</v>
      </c>
    </row>
    <row r="269" spans="1:9" ht="55.05" customHeight="1" x14ac:dyDescent="0.3">
      <c r="A269" s="39" t="s">
        <v>748</v>
      </c>
      <c r="B269" s="8" t="s">
        <v>784</v>
      </c>
      <c r="C269" s="8" t="s">
        <v>785</v>
      </c>
      <c r="D269" s="39" t="s">
        <v>760</v>
      </c>
      <c r="E269" s="73">
        <v>2016</v>
      </c>
      <c r="G269" s="45" t="s">
        <v>427</v>
      </c>
      <c r="H269" s="8" t="s">
        <v>1206</v>
      </c>
      <c r="I269" s="8" t="s">
        <v>1202</v>
      </c>
    </row>
    <row r="270" spans="1:9" ht="55.05" customHeight="1" x14ac:dyDescent="0.3">
      <c r="A270" s="39" t="s">
        <v>748</v>
      </c>
      <c r="B270" s="8" t="s">
        <v>818</v>
      </c>
      <c r="C270" s="8" t="s">
        <v>819</v>
      </c>
      <c r="D270" s="39" t="s">
        <v>760</v>
      </c>
      <c r="E270" s="73">
        <v>2016</v>
      </c>
      <c r="G270" s="45" t="s">
        <v>1138</v>
      </c>
      <c r="H270" s="8" t="s">
        <v>1137</v>
      </c>
      <c r="I270" s="8" t="s">
        <v>1136</v>
      </c>
    </row>
    <row r="271" spans="1:9" ht="55.05" customHeight="1" x14ac:dyDescent="0.3">
      <c r="A271" s="39" t="s">
        <v>748</v>
      </c>
      <c r="B271" s="8" t="s">
        <v>757</v>
      </c>
      <c r="C271" s="8" t="s">
        <v>700</v>
      </c>
      <c r="D271" s="39" t="s">
        <v>701</v>
      </c>
      <c r="E271" s="73">
        <v>2011</v>
      </c>
      <c r="F271" s="1" t="s">
        <v>911</v>
      </c>
      <c r="G271" s="45" t="s">
        <v>22</v>
      </c>
      <c r="H271" s="8" t="s">
        <v>1156</v>
      </c>
      <c r="I271" s="8" t="s">
        <v>1155</v>
      </c>
    </row>
    <row r="272" spans="1:9" ht="55.05" customHeight="1" x14ac:dyDescent="0.3">
      <c r="A272" s="39" t="s">
        <v>748</v>
      </c>
      <c r="B272" s="8" t="s">
        <v>805</v>
      </c>
      <c r="C272" s="8" t="s">
        <v>806</v>
      </c>
      <c r="D272" s="39" t="s">
        <v>701</v>
      </c>
      <c r="E272" s="73">
        <v>2018</v>
      </c>
      <c r="G272" s="45" t="s">
        <v>431</v>
      </c>
      <c r="H272" s="8" t="s">
        <v>1114</v>
      </c>
      <c r="I272" s="8" t="s">
        <v>1115</v>
      </c>
    </row>
    <row r="273" spans="1:9" ht="55.05" customHeight="1" x14ac:dyDescent="0.3">
      <c r="A273" s="39" t="s">
        <v>748</v>
      </c>
      <c r="B273" s="8" t="s">
        <v>1181</v>
      </c>
      <c r="C273" s="8" t="s">
        <v>766</v>
      </c>
      <c r="D273" s="39" t="s">
        <v>760</v>
      </c>
      <c r="E273" s="73">
        <v>2018</v>
      </c>
      <c r="G273" s="45" t="s">
        <v>1159</v>
      </c>
      <c r="H273" s="8" t="s">
        <v>1183</v>
      </c>
      <c r="I273" s="8" t="s">
        <v>1182</v>
      </c>
    </row>
    <row r="274" spans="1:9" ht="55.05" customHeight="1" x14ac:dyDescent="0.3">
      <c r="A274" s="39" t="s">
        <v>748</v>
      </c>
      <c r="B274" s="8" t="s">
        <v>796</v>
      </c>
      <c r="C274" s="8" t="s">
        <v>881</v>
      </c>
      <c r="D274" s="39" t="s">
        <v>661</v>
      </c>
      <c r="E274" s="73">
        <v>2017</v>
      </c>
      <c r="F274" s="10" t="s">
        <v>882</v>
      </c>
      <c r="G274" s="45" t="s">
        <v>967</v>
      </c>
      <c r="H274" s="8" t="s">
        <v>1117</v>
      </c>
      <c r="I274" s="8" t="s">
        <v>1116</v>
      </c>
    </row>
    <row r="275" spans="1:9" ht="55.05" customHeight="1" x14ac:dyDescent="0.3">
      <c r="A275" s="39" t="s">
        <v>748</v>
      </c>
      <c r="B275" s="8" t="s">
        <v>756</v>
      </c>
      <c r="C275" s="8" t="s">
        <v>678</v>
      </c>
      <c r="D275" s="39" t="s">
        <v>621</v>
      </c>
      <c r="E275" s="73">
        <v>2017</v>
      </c>
      <c r="G275" s="45" t="s">
        <v>427</v>
      </c>
      <c r="H275" s="8" t="s">
        <v>1132</v>
      </c>
      <c r="I275" s="8" t="s">
        <v>1133</v>
      </c>
    </row>
    <row r="276" spans="1:9" ht="55.05" customHeight="1" x14ac:dyDescent="0.3">
      <c r="A276" s="39" t="s">
        <v>748</v>
      </c>
      <c r="B276" s="8" t="s">
        <v>790</v>
      </c>
      <c r="C276" s="8" t="s">
        <v>791</v>
      </c>
      <c r="D276" s="39" t="s">
        <v>789</v>
      </c>
      <c r="E276" s="73">
        <v>2017</v>
      </c>
      <c r="G276" s="45" t="s">
        <v>1060</v>
      </c>
      <c r="H276" s="8" t="s">
        <v>1071</v>
      </c>
      <c r="I276" s="8" t="s">
        <v>1070</v>
      </c>
    </row>
    <row r="277" spans="1:9" ht="55.05" customHeight="1" x14ac:dyDescent="0.3">
      <c r="A277" s="39" t="s">
        <v>748</v>
      </c>
      <c r="B277" s="8" t="s">
        <v>712</v>
      </c>
      <c r="C277" s="8" t="s">
        <v>713</v>
      </c>
      <c r="D277" s="39" t="s">
        <v>701</v>
      </c>
      <c r="E277" s="73">
        <v>2018</v>
      </c>
      <c r="G277" s="45" t="s">
        <v>946</v>
      </c>
      <c r="H277" s="8" t="s">
        <v>1158</v>
      </c>
      <c r="I277" s="8" t="s">
        <v>1157</v>
      </c>
    </row>
    <row r="278" spans="1:9" ht="55.05" customHeight="1" x14ac:dyDescent="0.3">
      <c r="A278" s="39" t="s">
        <v>748</v>
      </c>
      <c r="B278" s="8" t="s">
        <v>872</v>
      </c>
      <c r="C278" s="8" t="s">
        <v>711</v>
      </c>
      <c r="D278" s="39" t="s">
        <v>701</v>
      </c>
      <c r="E278" s="73">
        <v>2019</v>
      </c>
      <c r="G278" s="45" t="s">
        <v>1159</v>
      </c>
      <c r="H278" s="8" t="s">
        <v>1161</v>
      </c>
      <c r="I278" s="8" t="s">
        <v>1160</v>
      </c>
    </row>
    <row r="279" spans="1:9" ht="55.05" customHeight="1" x14ac:dyDescent="0.3">
      <c r="A279" s="39" t="s">
        <v>748</v>
      </c>
      <c r="B279" s="8" t="s">
        <v>783</v>
      </c>
      <c r="C279" s="8" t="s">
        <v>617</v>
      </c>
      <c r="D279" s="39" t="s">
        <v>760</v>
      </c>
      <c r="E279" s="73">
        <v>2018</v>
      </c>
      <c r="G279" s="45" t="s">
        <v>1159</v>
      </c>
      <c r="H279" s="8" t="s">
        <v>1207</v>
      </c>
      <c r="I279" s="8" t="s">
        <v>1203</v>
      </c>
    </row>
    <row r="280" spans="1:9" ht="55.05" customHeight="1" x14ac:dyDescent="0.3">
      <c r="A280" s="39" t="s">
        <v>748</v>
      </c>
      <c r="B280" s="8" t="s">
        <v>668</v>
      </c>
      <c r="C280" s="8" t="s">
        <v>669</v>
      </c>
      <c r="D280" s="39" t="s">
        <v>667</v>
      </c>
      <c r="E280" s="73">
        <v>2018</v>
      </c>
      <c r="F280" s="10" t="s">
        <v>925</v>
      </c>
      <c r="G280" s="45" t="s">
        <v>604</v>
      </c>
      <c r="H280" s="8" t="s">
        <v>1082</v>
      </c>
      <c r="I280" s="8" t="s">
        <v>1081</v>
      </c>
    </row>
    <row r="281" spans="1:9" ht="55.05" customHeight="1" x14ac:dyDescent="0.3">
      <c r="A281" s="39" t="s">
        <v>748</v>
      </c>
      <c r="B281" s="8" t="s">
        <v>781</v>
      </c>
      <c r="C281" s="8" t="s">
        <v>782</v>
      </c>
      <c r="D281" s="39" t="s">
        <v>760</v>
      </c>
      <c r="E281" s="73">
        <v>2017</v>
      </c>
      <c r="F281" s="10" t="s">
        <v>914</v>
      </c>
      <c r="G281" s="45" t="s">
        <v>431</v>
      </c>
      <c r="H281" s="8" t="s">
        <v>1213</v>
      </c>
      <c r="I281" s="8" t="s">
        <v>1205</v>
      </c>
    </row>
    <row r="282" spans="1:9" ht="55.05" customHeight="1" x14ac:dyDescent="0.3">
      <c r="A282" s="39" t="s">
        <v>748</v>
      </c>
      <c r="B282" s="8" t="s">
        <v>681</v>
      </c>
      <c r="C282" s="8" t="s">
        <v>682</v>
      </c>
      <c r="D282" s="39" t="s">
        <v>621</v>
      </c>
      <c r="E282" s="73">
        <v>2018</v>
      </c>
      <c r="F282" s="10" t="s">
        <v>926</v>
      </c>
      <c r="G282" s="45" t="s">
        <v>946</v>
      </c>
      <c r="H282" s="8" t="s">
        <v>1135</v>
      </c>
      <c r="I282" s="8" t="s">
        <v>1134</v>
      </c>
    </row>
    <row r="283" spans="1:9" ht="55.05" customHeight="1" x14ac:dyDescent="0.3">
      <c r="A283" s="39" t="s">
        <v>748</v>
      </c>
      <c r="B283" s="8" t="s">
        <v>762</v>
      </c>
      <c r="C283" s="8" t="s">
        <v>763</v>
      </c>
      <c r="D283" s="39" t="s">
        <v>760</v>
      </c>
      <c r="E283" s="73">
        <v>2017</v>
      </c>
      <c r="G283" s="45" t="s">
        <v>22</v>
      </c>
      <c r="H283" s="8" t="s">
        <v>1215</v>
      </c>
      <c r="I283" s="8" t="s">
        <v>1212</v>
      </c>
    </row>
    <row r="284" spans="1:9" ht="55.05" customHeight="1" x14ac:dyDescent="0.3">
      <c r="A284" s="39" t="s">
        <v>748</v>
      </c>
      <c r="B284" s="8" t="s">
        <v>1266</v>
      </c>
      <c r="C284" s="8" t="s">
        <v>650</v>
      </c>
      <c r="D284" s="39" t="s">
        <v>651</v>
      </c>
      <c r="E284" s="73">
        <v>2018</v>
      </c>
      <c r="F284" s="10" t="s">
        <v>917</v>
      </c>
      <c r="G284" s="45" t="s">
        <v>943</v>
      </c>
      <c r="H284" s="8" t="s">
        <v>1271</v>
      </c>
      <c r="I284" s="8" t="s">
        <v>942</v>
      </c>
    </row>
    <row r="285" spans="1:9" ht="55.05" customHeight="1" x14ac:dyDescent="0.3">
      <c r="A285" s="39" t="s">
        <v>748</v>
      </c>
      <c r="B285" s="8" t="s">
        <v>999</v>
      </c>
      <c r="C285" s="8" t="s">
        <v>1000</v>
      </c>
      <c r="D285" s="39" t="s">
        <v>760</v>
      </c>
      <c r="E285" s="73">
        <v>2016</v>
      </c>
      <c r="F285" s="10" t="s">
        <v>891</v>
      </c>
      <c r="G285" s="45" t="s">
        <v>997</v>
      </c>
      <c r="H285" s="8" t="s">
        <v>998</v>
      </c>
      <c r="I285" s="8" t="s">
        <v>996</v>
      </c>
    </row>
    <row r="286" spans="1:9" ht="55.05" customHeight="1" x14ac:dyDescent="0.3">
      <c r="A286" s="39" t="s">
        <v>748</v>
      </c>
      <c r="B286" s="8" t="s">
        <v>655</v>
      </c>
      <c r="C286" s="8" t="s">
        <v>656</v>
      </c>
      <c r="D286" s="39" t="s">
        <v>654</v>
      </c>
      <c r="E286" s="73">
        <v>2019</v>
      </c>
      <c r="G286" s="45" t="s">
        <v>946</v>
      </c>
      <c r="H286" s="8" t="s">
        <v>1074</v>
      </c>
      <c r="I286" s="8" t="s">
        <v>1077</v>
      </c>
    </row>
    <row r="287" spans="1:9" ht="55.05" customHeight="1" x14ac:dyDescent="0.3">
      <c r="A287" s="39" t="s">
        <v>748</v>
      </c>
      <c r="B287" s="8" t="s">
        <v>800</v>
      </c>
      <c r="C287" s="8" t="s">
        <v>801</v>
      </c>
      <c r="D287" s="39" t="s">
        <v>849</v>
      </c>
      <c r="E287" s="73">
        <v>2017</v>
      </c>
      <c r="G287" s="45" t="s">
        <v>967</v>
      </c>
      <c r="H287" s="8" t="s">
        <v>1118</v>
      </c>
      <c r="I287" s="8" t="s">
        <v>1116</v>
      </c>
    </row>
    <row r="288" spans="1:9" ht="55.05" customHeight="1" x14ac:dyDescent="0.3">
      <c r="A288" s="39" t="s">
        <v>748</v>
      </c>
      <c r="B288" s="8" t="s">
        <v>873</v>
      </c>
      <c r="C288" s="8" t="s">
        <v>807</v>
      </c>
      <c r="D288" s="39" t="s">
        <v>651</v>
      </c>
      <c r="E288" s="73">
        <v>2018</v>
      </c>
      <c r="F288" s="10" t="s">
        <v>913</v>
      </c>
      <c r="G288" s="45" t="s">
        <v>976</v>
      </c>
      <c r="H288" s="8" t="s">
        <v>1120</v>
      </c>
      <c r="I288" s="8" t="s">
        <v>1119</v>
      </c>
    </row>
    <row r="289" spans="1:89" ht="55.05" customHeight="1" x14ac:dyDescent="0.3">
      <c r="A289" s="39" t="s">
        <v>748</v>
      </c>
      <c r="B289" s="8" t="s">
        <v>758</v>
      </c>
      <c r="C289" s="8" t="s">
        <v>759</v>
      </c>
      <c r="D289" s="39" t="s">
        <v>760</v>
      </c>
      <c r="E289" s="73">
        <v>2014</v>
      </c>
      <c r="G289" s="45" t="s">
        <v>22</v>
      </c>
      <c r="H289" s="8" t="s">
        <v>1220</v>
      </c>
      <c r="I289" s="8" t="s">
        <v>1219</v>
      </c>
    </row>
    <row r="290" spans="1:89" ht="55.05" customHeight="1" x14ac:dyDescent="0.3">
      <c r="A290" s="39" t="s">
        <v>748</v>
      </c>
      <c r="B290" s="8" t="s">
        <v>814</v>
      </c>
      <c r="C290" s="8" t="s">
        <v>815</v>
      </c>
      <c r="D290" s="39" t="s">
        <v>760</v>
      </c>
      <c r="E290" s="73">
        <v>2018</v>
      </c>
      <c r="F290" s="10" t="s">
        <v>930</v>
      </c>
      <c r="G290" s="45" t="s">
        <v>967</v>
      </c>
      <c r="H290" s="8" t="s">
        <v>1121</v>
      </c>
      <c r="I290" s="8" t="s">
        <v>1069</v>
      </c>
    </row>
    <row r="291" spans="1:89" ht="55.05" customHeight="1" x14ac:dyDescent="0.3">
      <c r="A291" s="39" t="s">
        <v>748</v>
      </c>
      <c r="B291" s="8" t="s">
        <v>803</v>
      </c>
      <c r="C291" s="8" t="s">
        <v>804</v>
      </c>
      <c r="D291" s="39" t="s">
        <v>849</v>
      </c>
      <c r="E291" s="73">
        <v>2018</v>
      </c>
      <c r="G291" s="45" t="s">
        <v>967</v>
      </c>
      <c r="H291" s="8" t="s">
        <v>1122</v>
      </c>
      <c r="I291" s="8" t="s">
        <v>1123</v>
      </c>
    </row>
    <row r="292" spans="1:89" ht="55.05" customHeight="1" x14ac:dyDescent="0.3">
      <c r="A292" s="39" t="s">
        <v>748</v>
      </c>
      <c r="B292" s="8" t="s">
        <v>652</v>
      </c>
      <c r="C292" s="8" t="s">
        <v>653</v>
      </c>
      <c r="D292" s="39" t="s">
        <v>654</v>
      </c>
      <c r="E292" s="73">
        <v>2018</v>
      </c>
      <c r="G292" s="45" t="s">
        <v>427</v>
      </c>
      <c r="H292" s="8" t="s">
        <v>1076</v>
      </c>
      <c r="I292" s="8" t="s">
        <v>1075</v>
      </c>
      <c r="P292" s="86"/>
      <c r="Q292" s="74"/>
      <c r="R292" s="74"/>
      <c r="S292" s="74"/>
      <c r="T292" s="74"/>
      <c r="U292" s="74"/>
      <c r="V292" s="74"/>
      <c r="W292" s="74"/>
      <c r="X292" s="74"/>
      <c r="Y292" s="74"/>
      <c r="Z292" s="74"/>
      <c r="AA292" s="74"/>
      <c r="AB292" s="74"/>
      <c r="AC292" s="74"/>
      <c r="AD292" s="74"/>
      <c r="AE292" s="74"/>
      <c r="AF292" s="74"/>
      <c r="AG292" s="74"/>
      <c r="AH292" s="74"/>
      <c r="AI292" s="74"/>
      <c r="AJ292" s="74"/>
      <c r="AK292" s="86"/>
      <c r="AL292" s="89" t="s">
        <v>827</v>
      </c>
      <c r="AM292" s="89" t="s">
        <v>748</v>
      </c>
      <c r="AN292" s="89" t="s">
        <v>1051</v>
      </c>
      <c r="AO292" s="89" t="s">
        <v>749</v>
      </c>
      <c r="AP292" s="86"/>
      <c r="AQ292" s="86"/>
      <c r="AR292" s="86"/>
      <c r="AS292" s="86"/>
      <c r="AT292" s="86"/>
      <c r="AU292" s="86"/>
      <c r="AV292" s="86"/>
      <c r="AW292" s="39" cm="1">
        <f t="array" ref="AW292">TRANSPOSE(_xlfn._xlws.SORT(_xlfn.UNIQUE(D293:D575)))</f>
        <v>0</v>
      </c>
      <c r="AX292" s="39"/>
      <c r="AY292" s="39"/>
      <c r="AZ292" s="39"/>
      <c r="BA292" s="39"/>
      <c r="BB292" s="39"/>
      <c r="BC292" s="39"/>
      <c r="BD292" s="39"/>
      <c r="BE292" s="39"/>
      <c r="BF292" s="39"/>
      <c r="BG292" s="39"/>
      <c r="BH292" s="39"/>
      <c r="BI292" s="39"/>
      <c r="BJ292" s="39"/>
      <c r="BK292" s="39"/>
      <c r="BL292" s="39"/>
      <c r="BM292" s="39"/>
      <c r="BN292" s="39"/>
      <c r="BO292" s="39"/>
      <c r="BP292" s="39"/>
      <c r="BQ292" s="39"/>
      <c r="BR292" s="39"/>
      <c r="BS292" s="39"/>
      <c r="BT292" s="39"/>
      <c r="BU292" s="39"/>
      <c r="BV292" s="39"/>
      <c r="BW292" s="39"/>
      <c r="BX292" s="39"/>
      <c r="BY292" s="39"/>
      <c r="BZ292" s="39"/>
      <c r="CA292" s="39"/>
      <c r="CB292" s="39"/>
      <c r="CC292" s="39"/>
      <c r="CD292" s="39"/>
      <c r="CE292" s="39"/>
      <c r="CF292" s="39"/>
      <c r="CG292" s="39"/>
      <c r="CH292" s="39"/>
      <c r="CI292" s="39"/>
      <c r="CJ292" s="39"/>
      <c r="CK292" s="39"/>
    </row>
    <row r="293" spans="1:89" ht="55.05" customHeight="1" x14ac:dyDescent="0.3">
      <c r="A293" s="82"/>
      <c r="B293" s="85"/>
      <c r="C293" s="85"/>
      <c r="D293" s="82"/>
      <c r="E293" s="83"/>
      <c r="F293" s="84"/>
      <c r="G293" s="88"/>
      <c r="H293" s="85"/>
      <c r="I293" s="85"/>
      <c r="J293" s="84"/>
      <c r="K293" s="84"/>
    </row>
    <row r="294" spans="1:89" ht="55.05" customHeight="1" x14ac:dyDescent="0.3">
      <c r="F294" s="9"/>
      <c r="I294" s="90" t="s">
        <v>1583</v>
      </c>
    </row>
    <row r="295" spans="1:89" ht="55.05" customHeight="1" x14ac:dyDescent="0.3">
      <c r="F295" s="9"/>
      <c r="I295" s="90" t="s">
        <v>1582</v>
      </c>
    </row>
    <row r="296" spans="1:89" ht="55.05" customHeight="1" x14ac:dyDescent="0.3">
      <c r="A296" s="55"/>
    </row>
    <row r="297" spans="1:89" ht="55.05" customHeight="1" x14ac:dyDescent="0.3">
      <c r="A297" s="55"/>
    </row>
    <row r="298" spans="1:89" ht="55.05" customHeight="1" x14ac:dyDescent="0.3">
      <c r="A298" s="55"/>
    </row>
    <row r="299" spans="1:89" ht="55.05" customHeight="1" x14ac:dyDescent="0.3">
      <c r="A299" s="55"/>
    </row>
  </sheetData>
  <autoFilter ref="A1:I299" xr:uid="{4D4FCD4A-3F20-425A-AD09-6E4CEBEC0EE8}"/>
  <sortState xmlns:xlrd2="http://schemas.microsoft.com/office/spreadsheetml/2017/richdata2" ref="A1:CM299">
    <sortCondition ref="A1:A299"/>
    <sortCondition ref="B1:B299"/>
    <sortCondition ref="E1:E299"/>
    <sortCondition ref="D1:D299"/>
  </sortState>
  <phoneticPr fontId="18" type="noConversion"/>
  <hyperlinks>
    <hyperlink ref="I158" r:id="rId1" xr:uid="{D589A039-C168-4391-94D2-955FF63FFDB0}"/>
    <hyperlink ref="I180" r:id="rId2" xr:uid="{9EBBCD3D-04A0-4881-9946-D6AFB30BCE99}"/>
    <hyperlink ref="I127" r:id="rId3" xr:uid="{1D88556A-C274-4E64-ACA2-93389BC2C4E7}"/>
    <hyperlink ref="I273" r:id="rId4" xr:uid="{1FE93A89-C873-4A73-83C3-41C62DCA915A}"/>
    <hyperlink ref="I193" r:id="rId5" xr:uid="{4FE7892C-77DB-4D64-B6F9-7FF2071FBB75}"/>
    <hyperlink ref="I90" r:id="rId6" display="https://cyberir.mit.edu/site/global-landscape-ai-ethics-guidelines/?form=MG0AV3_x000a_" xr:uid="{88EC72B1-9FE4-4DA4-95C5-45691F9D7AC7}"/>
    <hyperlink ref="I159" r:id="rId7" xr:uid="{3D72694F-C7BB-40C4-8994-BFCA404A1963}"/>
    <hyperlink ref="I41" r:id="rId8" xr:uid="{40CA12FA-2524-48A1-9236-68E792A51BD5}"/>
    <hyperlink ref="I76" r:id="rId9" xr:uid="{F2FE0925-9C91-4E94-A57C-47C5647FDFC6}"/>
    <hyperlink ref="I42" r:id="rId10" xr:uid="{811D4CED-17E9-4A2E-8CB0-03D4630D6175}"/>
    <hyperlink ref="I44" r:id="rId11" xr:uid="{2A416241-B139-47A0-B351-FB528F59B702}"/>
    <hyperlink ref="I77" r:id="rId12" xr:uid="{DF52F2D4-5D3F-49D2-B25E-66887C52E7DA}"/>
    <hyperlink ref="I114" r:id="rId13" xr:uid="{2F56864C-B008-4FA6-ABA5-B1B23EB52881}"/>
    <hyperlink ref="I35" r:id="rId14" xr:uid="{E2071E14-379B-4E81-9F43-5831A0249A62}"/>
    <hyperlink ref="I34" r:id="rId15" xr:uid="{A72338DE-0B08-4A8E-8347-3729DF2CF945}"/>
    <hyperlink ref="I10" r:id="rId16" xr:uid="{C38E5387-1871-467C-B7F2-6B7D866ABA95}"/>
    <hyperlink ref="I169" r:id="rId17" xr:uid="{AB9C097B-77B4-455A-ACCB-9DF1730A0222}"/>
    <hyperlink ref="I49" r:id="rId18" xr:uid="{B47D60E7-DE4C-43B4-8208-9CFA6F845AA5}"/>
    <hyperlink ref="I62" r:id="rId19" xr:uid="{D28DFFE8-3E74-4105-9EF6-BC02FAB0C94A}"/>
    <hyperlink ref="I50" r:id="rId20" xr:uid="{26235D1C-3FE0-4211-B842-4FE909601ADA}"/>
    <hyperlink ref="I54" r:id="rId21" xr:uid="{24438A5F-1530-42B9-BF0A-67EE160AEF7B}"/>
    <hyperlink ref="I56" r:id="rId22" display="https://cdt.org/area-of-focus/ai-policy-governance/?form=MG0AV3" xr:uid="{85F40AD0-8DC2-4B02-9117-C749E48605C3}"/>
    <hyperlink ref="I73" r:id="rId23" xr:uid="{E42BB28A-3970-40A0-AEC1-D8E66D4C0995}"/>
    <hyperlink ref="I55" r:id="rId24" xr:uid="{01E52EE4-DF88-4434-961B-127931E92581}"/>
    <hyperlink ref="I143" r:id="rId25" xr:uid="{37E774D5-4EB0-48FD-A3E5-0A80CEBA969A}"/>
    <hyperlink ref="I61" r:id="rId26" xr:uid="{16C86728-759E-4745-A19F-E908B87F8D21}"/>
    <hyperlink ref="I205" r:id="rId27" xr:uid="{FF2B2EF7-D7BF-423F-9EEA-8803DD586762}"/>
    <hyperlink ref="I103" r:id="rId28" xr:uid="{9B341A1D-AD37-4DA7-967A-BFE82B1205C7}"/>
    <hyperlink ref="I178" r:id="rId29" xr:uid="{E571A18A-9D3D-4235-8E77-9CF6BFB38555}"/>
    <hyperlink ref="I82" r:id="rId30" xr:uid="{BE1F988B-57D8-4AE6-AA01-D43BF474337E}"/>
    <hyperlink ref="I66" r:id="rId31" xr:uid="{59481FF0-F5BE-44DB-BE7A-1ABE1E507726}"/>
    <hyperlink ref="I67" r:id="rId32" xr:uid="{93412C15-B3E8-45D5-B666-710159B30C5E}"/>
    <hyperlink ref="I68" r:id="rId33" xr:uid="{E91AD49C-9187-4302-BD23-5E17893CA6CB}"/>
    <hyperlink ref="I70" r:id="rId34" xr:uid="{2B312B3D-DADB-4819-9045-A8086A548A62}"/>
    <hyperlink ref="I71" r:id="rId35" xr:uid="{C97A427E-D53F-45AF-8FAC-2FBC5F7D857C}"/>
    <hyperlink ref="I208" r:id="rId36" xr:uid="{1F761DA6-8C44-4C04-A749-C600107426F9}"/>
    <hyperlink ref="I83" r:id="rId37" xr:uid="{D726F053-8181-4F16-BF5A-AE6249184ECF}"/>
    <hyperlink ref="I183" r:id="rId38" xr:uid="{7B597604-FB38-4D2E-B6F0-6B4F61FA3B71}"/>
    <hyperlink ref="I74" r:id="rId39" xr:uid="{8DBEA982-7C28-439B-B46E-7FEC90E39559}"/>
    <hyperlink ref="I75" r:id="rId40" xr:uid="{4D035B75-6B57-4CB9-8ADA-54EE43B07702}"/>
    <hyperlink ref="I60" r:id="rId41" xr:uid="{4EBE0476-887D-42CD-BF8B-C64531D4494D}"/>
    <hyperlink ref="I78" r:id="rId42" xr:uid="{13D0FAB9-34C3-4D05-9318-0EB13A77D303}"/>
    <hyperlink ref="I79" r:id="rId43" xr:uid="{150DFC80-38F8-41D3-BD07-100DC5EE6F23}"/>
    <hyperlink ref="I200" r:id="rId44" xr:uid="{99D1259C-2792-4B9A-B83C-7E166D05403E}"/>
    <hyperlink ref="I84" r:id="rId45" xr:uid="{60109C89-A84C-460E-900F-A42066D1BC3F}"/>
    <hyperlink ref="I190" r:id="rId46" xr:uid="{CA80BB98-D639-480D-BBA1-B4855B6E51C4}"/>
    <hyperlink ref="I86" r:id="rId47" xr:uid="{C6BA3C8B-3FE9-41CA-BFEE-CA9B1A422704}"/>
    <hyperlink ref="I87" r:id="rId48" xr:uid="{E30BE3C3-C6BB-4AEB-8FE7-1212F908DCAF}"/>
    <hyperlink ref="I59" r:id="rId49" xr:uid="{50DD17CE-0DD5-4246-89F5-044CE92F3DBA}"/>
    <hyperlink ref="I94" r:id="rId50" xr:uid="{0A89FDE0-9D55-4F7D-82D3-3CC1E0C343D3}"/>
    <hyperlink ref="I107" r:id="rId51" xr:uid="{3E03E743-4776-40DE-8665-574C1D82A055}"/>
    <hyperlink ref="I92" r:id="rId52" xr:uid="{260EB161-4D61-428B-9EA8-D048E9C84C8D}"/>
    <hyperlink ref="I91" r:id="rId53" xr:uid="{70BD937F-14AE-4E29-A483-6D82EDF24B5D}"/>
    <hyperlink ref="I52" r:id="rId54" xr:uid="{478186AD-3C45-4A3E-B024-9760CECD4F6F}"/>
    <hyperlink ref="I191" r:id="rId55" xr:uid="{D5D0389A-5A12-472A-A888-7E21F9070FBE}"/>
    <hyperlink ref="I45" r:id="rId56" xr:uid="{7062B301-D8AB-42CD-81C2-06DF2B445026}"/>
    <hyperlink ref="I72" r:id="rId57" xr:uid="{96CBF7E5-D887-4A29-89A5-7B3C8024BDEC}"/>
    <hyperlink ref="I46" r:id="rId58" xr:uid="{524305E7-E041-4649-B4B3-B6655A8A68B9}"/>
    <hyperlink ref="I96" r:id="rId59" xr:uid="{C10549FA-BD16-4F2A-AD2A-6F5BC0AB0149}"/>
    <hyperlink ref="I97" r:id="rId60" xr:uid="{C15F92CD-595C-4E2A-8F62-7B7FF0168718}"/>
    <hyperlink ref="I98" r:id="rId61" xr:uid="{851C0C6C-EC61-432D-B015-5705BF9F7800}"/>
    <hyperlink ref="I192" r:id="rId62" xr:uid="{C30E1844-834F-4149-ABBB-6533B025CACC}"/>
    <hyperlink ref="I99" r:id="rId63" xr:uid="{861C2B62-3B30-45E4-807B-3645F577B31B}"/>
    <hyperlink ref="I93" r:id="rId64" xr:uid="{EEE8AD07-D9B5-4D60-8C74-63F37E4A185C}"/>
    <hyperlink ref="I149" r:id="rId65" xr:uid="{2FC32BC0-E220-4FA3-BE56-9EE5B91049EF}"/>
    <hyperlink ref="I148" r:id="rId66" xr:uid="{8A6D8E1E-5D07-4E4A-9190-FAF525A5F28C}"/>
    <hyperlink ref="I100" r:id="rId67" xr:uid="{C9DECAC4-861C-45A1-8BC3-9DD3134182E4}"/>
    <hyperlink ref="I101" r:id="rId68" xr:uid="{B4864786-FCAA-48C6-9829-BEB1445FCDF5}"/>
    <hyperlink ref="I102" r:id="rId69" xr:uid="{6B508DB0-82B8-4C4C-A69D-1023312FEFEA}"/>
    <hyperlink ref="I104" r:id="rId70" xr:uid="{E40B5E8D-030E-46BD-ABEE-43F81B83F0DF}"/>
    <hyperlink ref="I105" r:id="rId71" xr:uid="{21AB7592-35A3-4BC2-B50A-1F677F4A90F7}"/>
    <hyperlink ref="I106" r:id="rId72" xr:uid="{95E3EA4D-581F-430F-B6C1-E97F48DFA582}"/>
    <hyperlink ref="I109" r:id="rId73" xr:uid="{2A6928CB-192A-4316-8269-4FB5B8782CCE}"/>
    <hyperlink ref="I88" r:id="rId74" xr:uid="{7291D0FB-CCCC-4254-993D-B4F57D37DFE2}"/>
    <hyperlink ref="I108" r:id="rId75" xr:uid="{D46630A7-5471-43D8-B56C-F03209429ABD}"/>
    <hyperlink ref="I47" r:id="rId76" xr:uid="{D58B8CC9-9A8E-40F6-8269-B5BC4ED66B1D}"/>
    <hyperlink ref="I110" r:id="rId77" xr:uid="{CFE5B5EB-14EB-4BED-A499-95E6CA38AD00}"/>
    <hyperlink ref="I111" r:id="rId78" xr:uid="{C684748D-4C92-4168-AC6D-C83B089AA72A}"/>
    <hyperlink ref="I112" r:id="rId79" xr:uid="{7086AD2C-FC97-45C8-948C-44D99DC6F2A0}"/>
    <hyperlink ref="I113" r:id="rId80" xr:uid="{5DC16904-3439-4DA3-9979-9F6DA2F2DEE9}"/>
    <hyperlink ref="I294" r:id="rId81" xr:uid="{0CFFDC3F-1ED7-49D6-8825-85524BCE7691}"/>
    <hyperlink ref="I295" r:id="rId82" xr:uid="{A327E041-607C-4354-A8E3-182A56C5D2F9}"/>
    <hyperlink ref="I2" r:id="rId83" xr:uid="{CD333425-98AB-4CD0-BA86-20EA224580F1}"/>
    <hyperlink ref="I33" r:id="rId84" xr:uid="{225411D2-37B2-4560-ACF5-877814C8B40D}"/>
    <hyperlink ref="I11" r:id="rId85" xr:uid="{42F76340-6154-4537-8096-E080CB55FBB2}"/>
    <hyperlink ref="I142" r:id="rId86" xr:uid="{D75F2087-1C29-4621-BE23-B8398E0B1F96}"/>
    <hyperlink ref="I69" r:id="rId87" xr:uid="{5C567ED4-45DA-43F6-9FA4-8E92E4CBADDD}"/>
    <hyperlink ref="I65" r:id="rId88" xr:uid="{CAA652C6-1258-4B7C-B19F-84BF1AA44FDD}"/>
    <hyperlink ref="I187" r:id="rId89" xr:uid="{B88E24EE-94CB-4146-B92B-CC5FA56E0E54}"/>
    <hyperlink ref="I58" r:id="rId90" xr:uid="{B15D701E-4C3D-479A-98DD-D6526B64207C}"/>
    <hyperlink ref="I48" r:id="rId91" xr:uid="{36CC5938-325A-48D4-8E2C-B7DE17EAADD6}"/>
    <hyperlink ref="I80" r:id="rId92" xr:uid="{250205BB-D65A-43CC-8AEC-384E27E81E32}"/>
    <hyperlink ref="I95" r:id="rId93" xr:uid="{BEDA3571-3C82-464F-8823-CFBA2CC1B6E2}"/>
    <hyperlink ref="I63" r:id="rId94" xr:uid="{7048EE8A-8593-44B2-A99D-CB0F9C4FBB30}"/>
    <hyperlink ref="I139" r:id="rId95" xr:uid="{0B77FC8E-BE00-4B37-92E2-C10E5C84596F}"/>
    <hyperlink ref="I186" r:id="rId96" xr:uid="{DE541362-AFF5-4547-B07B-2E8054A7ED7A}"/>
    <hyperlink ref="I64" r:id="rId97" xr:uid="{763C991C-F2F6-465E-9ED4-8A7536DECF69}"/>
    <hyperlink ref="I197" r:id="rId98" display="Mexico  AI Strategy" xr:uid="{5B3F3701-DB03-49EF-92AA-736324D159A9}"/>
    <hyperlink ref="I81" r:id="rId99" xr:uid="{0A407F7B-A779-41E9-81AC-03B1AD985D1B}"/>
    <hyperlink ref="I27:I28" r:id="rId100" display="Russian  AI Strategy" xr:uid="{C21615A4-51E2-4A9D-AAF3-4D256C2BD70A}"/>
    <hyperlink ref="I140" r:id="rId101" xr:uid="{CCF178EC-7FE5-4483-B9F8-B7837BC5089C}"/>
    <hyperlink ref="I53" r:id="rId102" xr:uid="{51FEDF45-F620-4A0A-8D49-FECEE36915B8}"/>
    <hyperlink ref="I31:I32" r:id="rId103" display="South Korea AI Strategy" xr:uid="{E6C155B5-FE34-41C1-97AB-251A1997073A}"/>
    <hyperlink ref="I138" r:id="rId104" xr:uid="{E9CF15BF-003E-499A-94C4-6668CBA8A448}"/>
    <hyperlink ref="I135" r:id="rId105" xr:uid="{53B544E4-2535-445F-996C-4604217B97FB}"/>
    <hyperlink ref="I137" r:id="rId106" xr:uid="{9D67EB6F-D201-446A-AE35-30C4794B3100}"/>
    <hyperlink ref="I12" r:id="rId107" xr:uid="{259834CA-5DB4-4E3E-B63B-357C3C411CC8}"/>
    <hyperlink ref="I13" r:id="rId108" xr:uid="{9181BD04-5D22-4064-A702-71A2BAB1DE83}"/>
    <hyperlink ref="I15" r:id="rId109" xr:uid="{660C7C09-CCD7-485D-BCAA-E2DDB396E1E7}"/>
    <hyperlink ref="I16" r:id="rId110" xr:uid="{80B30981-8BC6-4F90-9924-0D411CC6D0E8}"/>
    <hyperlink ref="I17" r:id="rId111" xr:uid="{BD20295B-8439-4488-90FD-FC0F7B80FE64}"/>
    <hyperlink ref="I18" r:id="rId112" xr:uid="{9E792D2A-8F36-4736-B990-4562B78271CC}"/>
    <hyperlink ref="I19" r:id="rId113" xr:uid="{FAEA7F0F-B298-4AFC-970D-6B1F1F521C84}"/>
    <hyperlink ref="I20" r:id="rId114" xr:uid="{634AD5C1-074B-4ED5-90CB-F8A331ECBB19}"/>
    <hyperlink ref="I21" r:id="rId115" xr:uid="{530997DC-7CE9-42B9-8E74-A80F4317D55D}"/>
    <hyperlink ref="I22" r:id="rId116" xr:uid="{3DB55774-CD79-4B20-946A-4D242B876B46}"/>
    <hyperlink ref="I23" r:id="rId117" xr:uid="{BDD45ECD-3165-4307-880E-8FE9586FE97B}"/>
    <hyperlink ref="I24" r:id="rId118" xr:uid="{82676035-51D3-4489-8492-43FA88C092DB}"/>
    <hyperlink ref="I26" r:id="rId119" xr:uid="{DA27F76F-7613-49FF-AB8D-1775B41BF710}"/>
    <hyperlink ref="I27" r:id="rId120" xr:uid="{BA701218-3052-4A7A-AD18-00AF64AEE0F2}"/>
    <hyperlink ref="I28" r:id="rId121" xr:uid="{FAAA1D78-CEFE-4CF3-8B34-7FB0899D4DAD}"/>
    <hyperlink ref="I29" r:id="rId122" xr:uid="{298AABA9-5E8E-4FEA-B1E0-83544C665578}"/>
    <hyperlink ref="I30" r:id="rId123" xr:uid="{2A100BE9-9B70-449A-8CEC-2F06B18F2D9F}"/>
    <hyperlink ref="I31" r:id="rId124" xr:uid="{5A0E6266-B367-498A-93E0-4D5B24496F7A}"/>
    <hyperlink ref="I32" r:id="rId125" xr:uid="{0FC26ECA-06F3-4C46-BEA6-179B721250F2}"/>
    <hyperlink ref="I36" r:id="rId126" xr:uid="{D7817163-61F9-4BFA-8B77-E9E0DD44E0CD}"/>
    <hyperlink ref="I37" r:id="rId127" xr:uid="{854D65A1-5310-4698-B54E-A1677CB1E6D2}"/>
    <hyperlink ref="I194" r:id="rId128" xr:uid="{2E876455-A0D9-4B83-8E78-F9AF1BA41A8B}"/>
    <hyperlink ref="I195" r:id="rId129" xr:uid="{A76D8AE8-412F-41F5-AB41-2D9EE2EFC9CA}"/>
    <hyperlink ref="I196" r:id="rId130" xr:uid="{74274F2C-28C9-4C0C-9AA9-0DE6ED762324}"/>
    <hyperlink ref="I198" r:id="rId131" xr:uid="{627C4797-F3C2-45A4-9B79-E919AE950214}"/>
    <hyperlink ref="I3" r:id="rId132" xr:uid="{2802273E-8236-4081-BA0A-79950041CE98}"/>
    <hyperlink ref="I4" r:id="rId133" xr:uid="{7C94D9F5-2DD7-4FB9-817C-3936373909C1}"/>
    <hyperlink ref="I9" r:id="rId134" xr:uid="{6AD14AEF-B30C-4FAF-9DDF-306FEEC2D86B}"/>
    <hyperlink ref="I5" r:id="rId135" xr:uid="{76694346-A7CE-4332-BCB3-A7A83BB22620}"/>
    <hyperlink ref="I8" r:id="rId136" xr:uid="{91779FB1-9489-4717-8843-0408AEF40530}"/>
    <hyperlink ref="I6" r:id="rId137" xr:uid="{E944BA93-D915-4774-9F0D-76F20DC28F11}"/>
    <hyperlink ref="I7" r:id="rId138" xr:uid="{7DAB4253-9BC5-4B23-AB01-EAAB9E80DBEF}"/>
    <hyperlink ref="I25" r:id="rId139" xr:uid="{75F79DE0-F9A1-496D-9016-2878B1E4768F}"/>
    <hyperlink ref="I14" r:id="rId140" xr:uid="{E47F0C50-A816-4DD5-AB81-36558B80E0E6}"/>
    <hyperlink ref="I38" r:id="rId141" xr:uid="{2D86DFAA-CB19-43ED-9073-614509627F74}"/>
    <hyperlink ref="I39" r:id="rId142" xr:uid="{1280ECD5-508F-4FEC-B142-821F0A182EED}"/>
    <hyperlink ref="I40" r:id="rId143" xr:uid="{00E75077-ECEA-4770-81EE-85D2FC0A2D55}"/>
    <hyperlink ref="I43" r:id="rId144" xr:uid="{200D44AE-A255-45C0-9107-090AAB6FA52F}"/>
    <hyperlink ref="I51" r:id="rId145" xr:uid="{70D514E9-934E-4F6A-B6D3-40B7A5C8AB02}"/>
    <hyperlink ref="I57" r:id="rId146" xr:uid="{07EDDCCF-CE0E-4403-AE03-E26EFC07949F}"/>
    <hyperlink ref="I115" r:id="rId147" xr:uid="{7AC8FF67-643E-409D-A511-5C752705395C}"/>
    <hyperlink ref="I116" r:id="rId148" xr:uid="{E1F102DF-08AF-4B9A-B7BE-5FC10C9818D7}"/>
    <hyperlink ref="I117" r:id="rId149" xr:uid="{A50BC485-447C-4190-8A50-23EEFD89EC1E}"/>
    <hyperlink ref="I118" r:id="rId150" xr:uid="{5CEB7D25-1F30-4E47-A4E9-2FDC6FA61EE7}"/>
    <hyperlink ref="I119" r:id="rId151" xr:uid="{86303A6E-2667-4972-AD32-0F7747DEC776}"/>
    <hyperlink ref="I120" r:id="rId152" xr:uid="{1DFE6563-0E91-4368-B5CC-99C8C49F368D}"/>
    <hyperlink ref="I121" r:id="rId153" xr:uid="{53AF29C3-E3D1-44B5-8E50-B306A677769F}"/>
    <hyperlink ref="I122" r:id="rId154" xr:uid="{6BF40D0D-E20C-4EA9-A684-63C158032D0A}"/>
    <hyperlink ref="I123" r:id="rId155" xr:uid="{71469EED-9738-43C3-BF7E-520225A13C11}"/>
    <hyperlink ref="I124" r:id="rId156" xr:uid="{66766E31-E98B-449A-ACCA-D66F02456EA5}"/>
    <hyperlink ref="I125" r:id="rId157" xr:uid="{497988D9-6B0C-448E-9EA3-0BCED83196F8}"/>
    <hyperlink ref="I126" r:id="rId158" xr:uid="{4C5383BB-7F96-4784-8369-87F9149634A6}"/>
    <hyperlink ref="I130" r:id="rId159" xr:uid="{3DAA9843-3915-45F2-AE05-B41308005CB6}"/>
    <hyperlink ref="I132" r:id="rId160" xr:uid="{8FC4ABA7-7C0C-4B6E-B46A-E38B4B2D0C85}"/>
    <hyperlink ref="I128" r:id="rId161" xr:uid="{7219C8F5-191C-427D-B233-D0A955A48FE9}"/>
    <hyperlink ref="I129" r:id="rId162" xr:uid="{EE2F393B-A8FA-46ED-AA42-6AD60CE14FBA}"/>
    <hyperlink ref="I131" r:id="rId163" xr:uid="{AA7878B9-58B4-4A60-ACEF-7285B467C007}"/>
    <hyperlink ref="I133" r:id="rId164" xr:uid="{6BE9A541-CD10-4A52-8674-F2F543156362}"/>
    <hyperlink ref="I136" r:id="rId165" xr:uid="{FAB554ED-46BC-4EC5-A86D-F91AFAD6C53C}"/>
    <hyperlink ref="I141" r:id="rId166" xr:uid="{F4D09A79-0E72-4C16-B67E-EF6AB1DE61BF}"/>
    <hyperlink ref="I144" r:id="rId167" xr:uid="{88D7EAC3-30E9-486B-ACC3-904CB3BF19C3}"/>
    <hyperlink ref="I145" r:id="rId168" xr:uid="{FE2344CE-BE34-448F-8C29-E335FD9379E1}"/>
    <hyperlink ref="I147" r:id="rId169" xr:uid="{945A15B4-3739-4B21-A7F1-C87C718BE6E6}"/>
    <hyperlink ref="I146" r:id="rId170" xr:uid="{4E4311F0-A729-4D92-A8B5-620C9B53AD6E}"/>
    <hyperlink ref="I150" r:id="rId171" xr:uid="{E851799C-DABC-446E-9360-1C9459E6D0F8}"/>
    <hyperlink ref="I151" r:id="rId172" xr:uid="{DFBB2B8D-65E6-43E6-ACB2-41F3783090F0}"/>
    <hyperlink ref="I156" r:id="rId173" xr:uid="{992FB84C-B00E-455F-8BFD-75C7FEF6C5F1}"/>
    <hyperlink ref="I152" r:id="rId174" xr:uid="{0D11C890-030A-4EBC-8A79-B156CEDFFD78}"/>
    <hyperlink ref="I153" r:id="rId175" xr:uid="{BD3831D1-EB0F-4FDB-8EBA-8BFBFCCB227C}"/>
    <hyperlink ref="I154" r:id="rId176" xr:uid="{4720F576-80D9-4DB4-9CCA-28C4CE285115}"/>
    <hyperlink ref="I155" r:id="rId177" xr:uid="{F2032F3B-1B03-47C8-901A-F5FF7344665D}"/>
    <hyperlink ref="I157" r:id="rId178" xr:uid="{1E1DD8EB-ECC5-4EF2-98ED-DDA1D33CB23F}"/>
    <hyperlink ref="I160" r:id="rId179" xr:uid="{7F37221E-F0E0-430B-8BD9-8DD425DB4D5D}"/>
    <hyperlink ref="I161" r:id="rId180" xr:uid="{205B54BE-2EDC-4D22-BA72-419F67F460EE}"/>
    <hyperlink ref="I162" r:id="rId181" xr:uid="{7BA3ADD0-6127-4BEC-9907-E8F1FEE27ED1}"/>
    <hyperlink ref="I164" r:id="rId182" xr:uid="{5467A674-5BC3-4002-A110-842B3B90EB55}"/>
    <hyperlink ref="I165" r:id="rId183" xr:uid="{81AAC283-E791-45FF-91C6-09FEEFBDD62C}"/>
    <hyperlink ref="I166" r:id="rId184" xr:uid="{65FD1237-4AB1-4EE2-90A3-52D5B77B443F}"/>
    <hyperlink ref="I167" r:id="rId185" xr:uid="{32C94D89-82B2-4972-9F0C-1E7495F4C6D2}"/>
    <hyperlink ref="I168" r:id="rId186" xr:uid="{D568C2AB-5E07-494D-BFCA-5C9F24311DD7}"/>
    <hyperlink ref="I163" r:id="rId187" xr:uid="{6F90AF61-D004-4A64-85B3-A464EFC4B70F}"/>
  </hyperlinks>
  <pageMargins left="0.7" right="0.7" top="0.75" bottom="0.75" header="0.3" footer="0.3"/>
  <legacyDrawing r:id="rId18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98F78-B96E-4A32-BFBC-14B7355E072D}">
  <sheetPr codeName="Sheet5"/>
  <dimension ref="A1:C5"/>
  <sheetViews>
    <sheetView workbookViewId="0">
      <selection activeCell="A6" sqref="A6"/>
    </sheetView>
  </sheetViews>
  <sheetFormatPr defaultRowHeight="14.4" x14ac:dyDescent="0.3"/>
  <cols>
    <col min="1" max="1" width="58.6640625" style="1" customWidth="1"/>
    <col min="3" max="3" width="100.33203125" customWidth="1"/>
  </cols>
  <sheetData>
    <row r="1" spans="1:3" ht="15" customHeight="1" x14ac:dyDescent="0.3">
      <c r="A1" s="1" t="s">
        <v>635</v>
      </c>
      <c r="B1" t="s">
        <v>636</v>
      </c>
      <c r="C1" s="62" t="s">
        <v>638</v>
      </c>
    </row>
    <row r="2" spans="1:3" x14ac:dyDescent="0.3">
      <c r="A2" s="1" t="s">
        <v>637</v>
      </c>
      <c r="B2" t="s">
        <v>636</v>
      </c>
      <c r="C2" s="63" t="s">
        <v>639</v>
      </c>
    </row>
    <row r="3" spans="1:3" x14ac:dyDescent="0.3">
      <c r="A3" s="1" t="s">
        <v>640</v>
      </c>
      <c r="B3" t="s">
        <v>636</v>
      </c>
      <c r="C3" s="63" t="s">
        <v>641</v>
      </c>
    </row>
    <row r="4" spans="1:3" ht="43.2" x14ac:dyDescent="0.3">
      <c r="A4" s="1" t="s">
        <v>642</v>
      </c>
    </row>
    <row r="5" spans="1:3" x14ac:dyDescent="0.3">
      <c r="A5" s="1" t="s">
        <v>643</v>
      </c>
      <c r="B5" t="s">
        <v>636</v>
      </c>
      <c r="C5" s="63" t="s">
        <v>644</v>
      </c>
    </row>
  </sheetData>
  <hyperlinks>
    <hyperlink ref="C1" r:id="rId1" xr:uid="{DCCDDEEA-6A7A-4085-BC8C-D22335D8AB39}"/>
    <hyperlink ref="C2" r:id="rId2" xr:uid="{9327B02E-39FB-44D0-B31E-80C2F3B9DB41}"/>
    <hyperlink ref="C3" r:id="rId3" xr:uid="{1795CD40-0E7D-47CA-B496-5C645679558D}"/>
    <hyperlink ref="C5" r:id="rId4" xr:uid="{BC2C5D48-6846-49D0-AE0E-68CD46B314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A7718-EFD6-4237-B2CC-6532706A67BD}">
  <sheetPr codeName="Sheet6"/>
  <dimension ref="A1:A85"/>
  <sheetViews>
    <sheetView workbookViewId="0">
      <selection sqref="A1:A85"/>
    </sheetView>
  </sheetViews>
  <sheetFormatPr defaultRowHeight="14.4" x14ac:dyDescent="0.3"/>
  <sheetData>
    <row r="1" spans="1:1" ht="18" x14ac:dyDescent="0.3">
      <c r="A1" s="3" t="s">
        <v>465</v>
      </c>
    </row>
    <row r="5" spans="1:1" ht="18" x14ac:dyDescent="0.3">
      <c r="A5" s="3" t="s">
        <v>466</v>
      </c>
    </row>
    <row r="6" spans="1:1" x14ac:dyDescent="0.3">
      <c r="A6" s="5" t="s">
        <v>538</v>
      </c>
    </row>
    <row r="7" spans="1:1" x14ac:dyDescent="0.3">
      <c r="A7" s="5" t="s">
        <v>467</v>
      </c>
    </row>
    <row r="8" spans="1:1" x14ac:dyDescent="0.3">
      <c r="A8" s="5" t="s">
        <v>468</v>
      </c>
    </row>
    <row r="9" spans="1:1" x14ac:dyDescent="0.3">
      <c r="A9" s="58" t="s">
        <v>469</v>
      </c>
    </row>
    <row r="10" spans="1:1" x14ac:dyDescent="0.3">
      <c r="A10" s="58" t="s">
        <v>470</v>
      </c>
    </row>
    <row r="11" spans="1:1" x14ac:dyDescent="0.3">
      <c r="A11" s="58" t="s">
        <v>471</v>
      </c>
    </row>
    <row r="12" spans="1:1" x14ac:dyDescent="0.3">
      <c r="A12" s="5" t="s">
        <v>472</v>
      </c>
    </row>
    <row r="16" spans="1:1" ht="18" x14ac:dyDescent="0.3">
      <c r="A16" s="3" t="s">
        <v>473</v>
      </c>
    </row>
    <row r="17" spans="1:1" x14ac:dyDescent="0.3">
      <c r="A17" s="5" t="s">
        <v>539</v>
      </c>
    </row>
    <row r="18" spans="1:1" x14ac:dyDescent="0.3">
      <c r="A18" s="5" t="s">
        <v>474</v>
      </c>
    </row>
    <row r="19" spans="1:1" x14ac:dyDescent="0.3">
      <c r="A19" s="5" t="s">
        <v>468</v>
      </c>
    </row>
    <row r="20" spans="1:1" x14ac:dyDescent="0.3">
      <c r="A20" s="58" t="s">
        <v>475</v>
      </c>
    </row>
    <row r="21" spans="1:1" x14ac:dyDescent="0.3">
      <c r="A21" s="58" t="s">
        <v>476</v>
      </c>
    </row>
    <row r="22" spans="1:1" x14ac:dyDescent="0.3">
      <c r="A22" s="58" t="s">
        <v>477</v>
      </c>
    </row>
    <row r="23" spans="1:1" x14ac:dyDescent="0.3">
      <c r="A23" s="59" t="s">
        <v>478</v>
      </c>
    </row>
    <row r="24" spans="1:1" x14ac:dyDescent="0.3">
      <c r="A24" s="59" t="s">
        <v>479</v>
      </c>
    </row>
    <row r="25" spans="1:1" x14ac:dyDescent="0.3">
      <c r="A25" s="5" t="s">
        <v>480</v>
      </c>
    </row>
    <row r="29" spans="1:1" ht="18" x14ac:dyDescent="0.3">
      <c r="A29" s="3" t="s">
        <v>481</v>
      </c>
    </row>
    <row r="30" spans="1:1" x14ac:dyDescent="0.3">
      <c r="A30" s="4"/>
    </row>
    <row r="31" spans="1:1" x14ac:dyDescent="0.3">
      <c r="A31" s="5" t="s">
        <v>482</v>
      </c>
    </row>
    <row r="32" spans="1:1" x14ac:dyDescent="0.3">
      <c r="A32" s="5" t="s">
        <v>468</v>
      </c>
    </row>
    <row r="33" spans="1:1" x14ac:dyDescent="0.3">
      <c r="A33" s="58" t="s">
        <v>483</v>
      </c>
    </row>
    <row r="34" spans="1:1" x14ac:dyDescent="0.3">
      <c r="A34" s="58" t="s">
        <v>484</v>
      </c>
    </row>
    <row r="35" spans="1:1" x14ac:dyDescent="0.3">
      <c r="A35" s="58" t="s">
        <v>485</v>
      </c>
    </row>
    <row r="36" spans="1:1" x14ac:dyDescent="0.3">
      <c r="A36" s="5" t="s">
        <v>486</v>
      </c>
    </row>
    <row r="40" spans="1:1" ht="18" x14ac:dyDescent="0.3">
      <c r="A40" s="3" t="s">
        <v>487</v>
      </c>
    </row>
    <row r="41" spans="1:1" x14ac:dyDescent="0.3">
      <c r="A41" s="4"/>
    </row>
    <row r="42" spans="1:1" x14ac:dyDescent="0.3">
      <c r="A42" s="5" t="s">
        <v>488</v>
      </c>
    </row>
    <row r="43" spans="1:1" x14ac:dyDescent="0.3">
      <c r="A43" s="5" t="s">
        <v>468</v>
      </c>
    </row>
    <row r="44" spans="1:1" x14ac:dyDescent="0.3">
      <c r="A44" s="58" t="s">
        <v>489</v>
      </c>
    </row>
    <row r="45" spans="1:1" x14ac:dyDescent="0.3">
      <c r="A45" s="59" t="s">
        <v>490</v>
      </c>
    </row>
    <row r="46" spans="1:1" x14ac:dyDescent="0.3">
      <c r="A46" s="58" t="s">
        <v>491</v>
      </c>
    </row>
    <row r="47" spans="1:1" x14ac:dyDescent="0.3">
      <c r="A47" s="59" t="s">
        <v>492</v>
      </c>
    </row>
    <row r="48" spans="1:1" x14ac:dyDescent="0.3">
      <c r="A48" s="5" t="s">
        <v>493</v>
      </c>
    </row>
    <row r="52" spans="1:1" ht="18" x14ac:dyDescent="0.3">
      <c r="A52" s="3" t="s">
        <v>494</v>
      </c>
    </row>
    <row r="53" spans="1:1" x14ac:dyDescent="0.3">
      <c r="A53" s="4"/>
    </row>
    <row r="54" spans="1:1" x14ac:dyDescent="0.3">
      <c r="A54" s="5" t="s">
        <v>495</v>
      </c>
    </row>
    <row r="55" spans="1:1" x14ac:dyDescent="0.3">
      <c r="A55" s="5" t="s">
        <v>468</v>
      </c>
    </row>
    <row r="56" spans="1:1" x14ac:dyDescent="0.3">
      <c r="A56" s="58" t="s">
        <v>496</v>
      </c>
    </row>
    <row r="57" spans="1:1" x14ac:dyDescent="0.3">
      <c r="A57" s="58" t="s">
        <v>497</v>
      </c>
    </row>
    <row r="58" spans="1:1" x14ac:dyDescent="0.3">
      <c r="A58" s="59" t="s">
        <v>498</v>
      </c>
    </row>
    <row r="59" spans="1:1" x14ac:dyDescent="0.3">
      <c r="A59" s="58" t="s">
        <v>499</v>
      </c>
    </row>
    <row r="60" spans="1:1" x14ac:dyDescent="0.3">
      <c r="A60" s="5" t="s">
        <v>500</v>
      </c>
    </row>
    <row r="64" spans="1:1" ht="18" x14ac:dyDescent="0.3">
      <c r="A64" s="3" t="s">
        <v>501</v>
      </c>
    </row>
    <row r="65" spans="1:1" x14ac:dyDescent="0.3">
      <c r="A65" s="4"/>
    </row>
    <row r="66" spans="1:1" x14ac:dyDescent="0.3">
      <c r="A66" s="5" t="s">
        <v>502</v>
      </c>
    </row>
    <row r="67" spans="1:1" x14ac:dyDescent="0.3">
      <c r="A67" s="5" t="s">
        <v>468</v>
      </c>
    </row>
    <row r="68" spans="1:1" x14ac:dyDescent="0.3">
      <c r="A68" s="58" t="s">
        <v>503</v>
      </c>
    </row>
    <row r="69" spans="1:1" x14ac:dyDescent="0.3">
      <c r="A69" s="59" t="s">
        <v>504</v>
      </c>
    </row>
    <row r="70" spans="1:1" x14ac:dyDescent="0.3">
      <c r="A70" s="59" t="s">
        <v>505</v>
      </c>
    </row>
    <row r="71" spans="1:1" x14ac:dyDescent="0.3">
      <c r="A71" s="58" t="s">
        <v>506</v>
      </c>
    </row>
    <row r="72" spans="1:1" x14ac:dyDescent="0.3">
      <c r="A72" s="5" t="s">
        <v>507</v>
      </c>
    </row>
    <row r="76" spans="1:1" ht="18" x14ac:dyDescent="0.3">
      <c r="A76" s="3" t="s">
        <v>508</v>
      </c>
    </row>
    <row r="77" spans="1:1" x14ac:dyDescent="0.3">
      <c r="A77" s="4"/>
    </row>
    <row r="78" spans="1:1" x14ac:dyDescent="0.3">
      <c r="A78" s="5" t="s">
        <v>509</v>
      </c>
    </row>
    <row r="79" spans="1:1" x14ac:dyDescent="0.3">
      <c r="A79" s="5" t="s">
        <v>510</v>
      </c>
    </row>
    <row r="80" spans="1:1" x14ac:dyDescent="0.3">
      <c r="A80" s="5" t="s">
        <v>511</v>
      </c>
    </row>
    <row r="81" spans="1:1" x14ac:dyDescent="0.3">
      <c r="A81" s="5" t="s">
        <v>512</v>
      </c>
    </row>
    <row r="85" spans="1:1" x14ac:dyDescent="0.3">
      <c r="A85" t="s">
        <v>513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5850C-6DC7-4C1A-BF75-D7ACFD3319F4}">
  <sheetPr codeName="Sheet7"/>
  <dimension ref="A1:C46"/>
  <sheetViews>
    <sheetView workbookViewId="0">
      <selection activeCell="C3" sqref="C3"/>
    </sheetView>
  </sheetViews>
  <sheetFormatPr defaultRowHeight="14.4" customHeight="1" x14ac:dyDescent="0.3"/>
  <cols>
    <col min="1" max="1" width="85.88671875" customWidth="1"/>
    <col min="2" max="2" width="1.6640625" customWidth="1"/>
    <col min="3" max="3" width="102.88671875" customWidth="1"/>
  </cols>
  <sheetData>
    <row r="1" spans="1:3" ht="18" x14ac:dyDescent="0.3">
      <c r="A1" s="6" t="s">
        <v>308</v>
      </c>
      <c r="B1" s="53"/>
      <c r="C1" s="6" t="s">
        <v>309</v>
      </c>
    </row>
    <row r="2" spans="1:3" ht="15.6" x14ac:dyDescent="0.3">
      <c r="A2" s="54" t="s">
        <v>310</v>
      </c>
      <c r="B2" s="53"/>
      <c r="C2" s="54" t="s">
        <v>311</v>
      </c>
    </row>
    <row r="3" spans="1:3" ht="15.6" customHeight="1" x14ac:dyDescent="0.3">
      <c r="A3" s="56" t="s">
        <v>446</v>
      </c>
      <c r="B3" s="53"/>
      <c r="C3" s="57" t="s">
        <v>312</v>
      </c>
    </row>
    <row r="4" spans="1:3" ht="18" x14ac:dyDescent="0.3">
      <c r="A4" s="52" t="s">
        <v>447</v>
      </c>
      <c r="B4" s="53"/>
      <c r="C4" s="6" t="s">
        <v>313</v>
      </c>
    </row>
    <row r="5" spans="1:3" ht="28.8" x14ac:dyDescent="0.3">
      <c r="A5" s="52" t="s">
        <v>448</v>
      </c>
      <c r="B5" s="53"/>
      <c r="C5" s="52" t="s">
        <v>310</v>
      </c>
    </row>
    <row r="6" spans="1:3" ht="28.8" x14ac:dyDescent="0.3">
      <c r="A6" s="54" t="s">
        <v>314</v>
      </c>
      <c r="B6" s="53"/>
      <c r="C6" s="52" t="s">
        <v>315</v>
      </c>
    </row>
    <row r="7" spans="1:3" x14ac:dyDescent="0.3">
      <c r="A7" s="52" t="s">
        <v>449</v>
      </c>
      <c r="B7" s="53"/>
      <c r="C7" s="52" t="s">
        <v>316</v>
      </c>
    </row>
    <row r="8" spans="1:3" x14ac:dyDescent="0.3">
      <c r="A8" s="52" t="s">
        <v>450</v>
      </c>
      <c r="B8" s="53"/>
      <c r="C8" s="51" t="s">
        <v>317</v>
      </c>
    </row>
    <row r="9" spans="1:3" x14ac:dyDescent="0.3">
      <c r="A9" s="52" t="s">
        <v>451</v>
      </c>
      <c r="B9" s="53"/>
      <c r="C9" s="51" t="s">
        <v>318</v>
      </c>
    </row>
    <row r="10" spans="1:3" ht="15.6" x14ac:dyDescent="0.3">
      <c r="A10" s="54" t="s">
        <v>320</v>
      </c>
      <c r="B10" s="53"/>
      <c r="C10" s="51" t="s">
        <v>319</v>
      </c>
    </row>
    <row r="11" spans="1:3" x14ac:dyDescent="0.3">
      <c r="A11" s="52" t="s">
        <v>452</v>
      </c>
      <c r="B11" s="53"/>
      <c r="C11" s="55" t="s">
        <v>321</v>
      </c>
    </row>
    <row r="12" spans="1:3" x14ac:dyDescent="0.3">
      <c r="A12" s="52" t="s">
        <v>453</v>
      </c>
      <c r="B12" s="53"/>
      <c r="C12" s="52" t="s">
        <v>322</v>
      </c>
    </row>
    <row r="13" spans="1:3" x14ac:dyDescent="0.3">
      <c r="A13" s="52" t="s">
        <v>454</v>
      </c>
      <c r="B13" s="53"/>
      <c r="C13" s="52" t="s">
        <v>323</v>
      </c>
    </row>
    <row r="14" spans="1:3" ht="15.6" x14ac:dyDescent="0.3">
      <c r="A14" s="54" t="s">
        <v>326</v>
      </c>
      <c r="B14" s="53"/>
      <c r="C14" s="52" t="s">
        <v>324</v>
      </c>
    </row>
    <row r="15" spans="1:3" ht="28.8" x14ac:dyDescent="0.3">
      <c r="A15" s="52" t="s">
        <v>455</v>
      </c>
      <c r="B15" s="53"/>
      <c r="C15" s="52" t="s">
        <v>325</v>
      </c>
    </row>
    <row r="16" spans="1:3" ht="28.8" x14ac:dyDescent="0.3">
      <c r="A16" s="52" t="s">
        <v>456</v>
      </c>
      <c r="B16" s="53"/>
      <c r="C16" s="52" t="s">
        <v>314</v>
      </c>
    </row>
    <row r="17" spans="1:3" ht="28.8" x14ac:dyDescent="0.3">
      <c r="A17" s="52" t="s">
        <v>457</v>
      </c>
      <c r="B17" s="53"/>
      <c r="C17" s="52" t="s">
        <v>327</v>
      </c>
    </row>
    <row r="18" spans="1:3" ht="28.8" x14ac:dyDescent="0.3">
      <c r="A18" s="54" t="s">
        <v>330</v>
      </c>
      <c r="B18" s="53"/>
      <c r="C18" s="52" t="s">
        <v>328</v>
      </c>
    </row>
    <row r="19" spans="1:3" x14ac:dyDescent="0.3">
      <c r="A19" s="52" t="s">
        <v>458</v>
      </c>
      <c r="B19" s="53"/>
      <c r="C19" s="52" t="s">
        <v>329</v>
      </c>
    </row>
    <row r="20" spans="1:3" x14ac:dyDescent="0.3">
      <c r="A20" s="52" t="s">
        <v>459</v>
      </c>
      <c r="B20" s="53"/>
      <c r="C20" s="52" t="s">
        <v>320</v>
      </c>
    </row>
    <row r="21" spans="1:3" ht="28.8" x14ac:dyDescent="0.3">
      <c r="A21" s="52" t="s">
        <v>460</v>
      </c>
      <c r="B21" s="53"/>
      <c r="C21" s="51" t="s">
        <v>331</v>
      </c>
    </row>
    <row r="22" spans="1:3" ht="15.6" x14ac:dyDescent="0.3">
      <c r="A22" s="54" t="s">
        <v>334</v>
      </c>
      <c r="B22" s="53"/>
      <c r="C22" s="51" t="s">
        <v>332</v>
      </c>
    </row>
    <row r="23" spans="1:3" ht="28.8" x14ac:dyDescent="0.3">
      <c r="A23" s="52" t="s">
        <v>461</v>
      </c>
      <c r="B23" s="53"/>
      <c r="C23" s="51" t="s">
        <v>333</v>
      </c>
    </row>
    <row r="24" spans="1:3" ht="28.8" x14ac:dyDescent="0.3">
      <c r="A24" s="52" t="s">
        <v>462</v>
      </c>
      <c r="B24" s="53"/>
      <c r="C24" s="52" t="s">
        <v>326</v>
      </c>
    </row>
    <row r="25" spans="1:3" x14ac:dyDescent="0.3">
      <c r="A25" s="52" t="s">
        <v>463</v>
      </c>
      <c r="B25" s="53"/>
      <c r="C25" s="52" t="s">
        <v>335</v>
      </c>
    </row>
    <row r="26" spans="1:3" ht="28.8" x14ac:dyDescent="0.3">
      <c r="A26" s="52" t="s">
        <v>464</v>
      </c>
      <c r="B26" s="53"/>
      <c r="C26" s="51" t="s">
        <v>336</v>
      </c>
    </row>
    <row r="27" spans="1:3" x14ac:dyDescent="0.3">
      <c r="A27" s="1"/>
      <c r="B27" s="53"/>
      <c r="C27" s="51" t="s">
        <v>337</v>
      </c>
    </row>
    <row r="28" spans="1:3" x14ac:dyDescent="0.3">
      <c r="A28" s="1"/>
      <c r="B28" s="53"/>
      <c r="C28" s="51" t="s">
        <v>338</v>
      </c>
    </row>
    <row r="29" spans="1:3" x14ac:dyDescent="0.3">
      <c r="A29" s="1"/>
      <c r="B29" s="53"/>
      <c r="C29" s="52" t="s">
        <v>339</v>
      </c>
    </row>
    <row r="30" spans="1:3" x14ac:dyDescent="0.3">
      <c r="A30" s="1"/>
      <c r="B30" s="53"/>
      <c r="C30" s="51" t="s">
        <v>340</v>
      </c>
    </row>
    <row r="31" spans="1:3" x14ac:dyDescent="0.3">
      <c r="A31" s="1"/>
      <c r="B31" s="53"/>
      <c r="C31" s="51" t="s">
        <v>341</v>
      </c>
    </row>
    <row r="32" spans="1:3" x14ac:dyDescent="0.3">
      <c r="A32" s="1"/>
      <c r="B32" s="53"/>
      <c r="C32" s="52" t="s">
        <v>342</v>
      </c>
    </row>
    <row r="33" spans="1:3" x14ac:dyDescent="0.3">
      <c r="A33" s="1"/>
      <c r="B33" s="53"/>
      <c r="C33" s="51" t="s">
        <v>343</v>
      </c>
    </row>
    <row r="34" spans="1:3" x14ac:dyDescent="0.3">
      <c r="A34" s="1"/>
      <c r="B34" s="53"/>
      <c r="C34" s="51" t="s">
        <v>344</v>
      </c>
    </row>
    <row r="35" spans="1:3" x14ac:dyDescent="0.3">
      <c r="A35" s="1"/>
      <c r="B35" s="53"/>
      <c r="C35" s="51" t="s">
        <v>345</v>
      </c>
    </row>
    <row r="36" spans="1:3" x14ac:dyDescent="0.3">
      <c r="A36" s="1"/>
      <c r="B36" s="53"/>
      <c r="C36" s="52" t="s">
        <v>330</v>
      </c>
    </row>
    <row r="37" spans="1:3" x14ac:dyDescent="0.3">
      <c r="A37" s="1"/>
      <c r="B37" s="53"/>
      <c r="C37" s="52" t="s">
        <v>346</v>
      </c>
    </row>
    <row r="38" spans="1:3" x14ac:dyDescent="0.3">
      <c r="A38" s="1"/>
      <c r="B38" s="53"/>
      <c r="C38" s="51" t="s">
        <v>347</v>
      </c>
    </row>
    <row r="39" spans="1:3" x14ac:dyDescent="0.3">
      <c r="A39" s="1"/>
      <c r="B39" s="53"/>
      <c r="C39" s="52" t="s">
        <v>348</v>
      </c>
    </row>
    <row r="40" spans="1:3" x14ac:dyDescent="0.3">
      <c r="A40" s="1"/>
      <c r="B40" s="53"/>
      <c r="C40" s="52" t="s">
        <v>349</v>
      </c>
    </row>
    <row r="41" spans="1:3" x14ac:dyDescent="0.3">
      <c r="A41" s="1"/>
      <c r="B41" s="53"/>
      <c r="C41" s="52" t="s">
        <v>350</v>
      </c>
    </row>
    <row r="42" spans="1:3" ht="28.8" x14ac:dyDescent="0.3">
      <c r="A42" s="1"/>
      <c r="B42" s="53"/>
      <c r="C42" s="52" t="s">
        <v>351</v>
      </c>
    </row>
    <row r="43" spans="1:3" x14ac:dyDescent="0.3">
      <c r="A43" s="1"/>
      <c r="B43" s="53"/>
      <c r="C43" s="52" t="s">
        <v>334</v>
      </c>
    </row>
    <row r="44" spans="1:3" ht="57.6" x14ac:dyDescent="0.3">
      <c r="A44" s="1"/>
      <c r="B44" s="53"/>
      <c r="C44" s="51" t="s">
        <v>352</v>
      </c>
    </row>
    <row r="45" spans="1:3" x14ac:dyDescent="0.3">
      <c r="A45" s="1"/>
      <c r="B45" s="53"/>
      <c r="C45" s="1"/>
    </row>
    <row r="46" spans="1:3" ht="43.2" x14ac:dyDescent="0.3">
      <c r="A46" s="1"/>
      <c r="B46" s="53"/>
      <c r="C46" s="1" t="s">
        <v>353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1CBB2-D9B3-4096-995E-5CF4658B1EFD}">
  <sheetPr codeName="Sheet8"/>
  <dimension ref="A1:E41"/>
  <sheetViews>
    <sheetView workbookViewId="0">
      <pane xSplit="1" ySplit="1" topLeftCell="B2" activePane="bottomRight" state="frozen"/>
      <selection pane="topRight" activeCell="B1" sqref="B1"/>
      <selection pane="bottomLeft" activeCell="A2" sqref="A2"/>
      <selection pane="bottomRight" activeCell="C4" sqref="C4"/>
    </sheetView>
  </sheetViews>
  <sheetFormatPr defaultRowHeight="14.4" customHeight="1" x14ac:dyDescent="0.3"/>
  <cols>
    <col min="1" max="4" width="50.6640625" customWidth="1"/>
  </cols>
  <sheetData>
    <row r="1" spans="1:5" ht="18" x14ac:dyDescent="0.3">
      <c r="A1" s="22" t="s">
        <v>354</v>
      </c>
      <c r="B1" s="14" t="s">
        <v>355</v>
      </c>
      <c r="C1" s="22" t="s">
        <v>356</v>
      </c>
      <c r="D1" s="22" t="s">
        <v>357</v>
      </c>
    </row>
    <row r="2" spans="1:5" ht="115.2" x14ac:dyDescent="0.3">
      <c r="A2" s="1" t="s">
        <v>358</v>
      </c>
      <c r="B2" s="8" t="s">
        <v>359</v>
      </c>
      <c r="C2" s="10" t="s">
        <v>360</v>
      </c>
      <c r="D2" s="1" t="s">
        <v>361</v>
      </c>
    </row>
    <row r="3" spans="1:5" ht="18" x14ac:dyDescent="0.3">
      <c r="A3" s="15" t="s">
        <v>362</v>
      </c>
      <c r="B3" s="25"/>
      <c r="C3" s="26"/>
      <c r="D3" s="3" t="s">
        <v>363</v>
      </c>
    </row>
    <row r="4" spans="1:5" ht="288" x14ac:dyDescent="0.3">
      <c r="A4" s="24" t="s">
        <v>364</v>
      </c>
      <c r="B4" s="8" t="s">
        <v>365</v>
      </c>
      <c r="C4" s="24" t="s">
        <v>366</v>
      </c>
      <c r="D4" s="24" t="s">
        <v>367</v>
      </c>
    </row>
    <row r="5" spans="1:5" x14ac:dyDescent="0.3">
      <c r="A5" s="15" t="s">
        <v>368</v>
      </c>
      <c r="B5" s="25"/>
      <c r="C5" s="26"/>
    </row>
    <row r="6" spans="1:5" ht="100.8" x14ac:dyDescent="0.3">
      <c r="A6" s="23" t="s">
        <v>369</v>
      </c>
      <c r="B6" s="8" t="s">
        <v>370</v>
      </c>
      <c r="C6" s="23" t="s">
        <v>371</v>
      </c>
      <c r="D6" s="1" t="s">
        <v>372</v>
      </c>
      <c r="E6" s="4"/>
    </row>
    <row r="7" spans="1:5" x14ac:dyDescent="0.3">
      <c r="A7" s="15" t="s">
        <v>373</v>
      </c>
      <c r="B7" s="25"/>
      <c r="C7" s="26"/>
      <c r="E7" s="5"/>
    </row>
    <row r="8" spans="1:5" ht="100.8" x14ac:dyDescent="0.3">
      <c r="A8" s="23" t="s">
        <v>374</v>
      </c>
      <c r="B8" s="8" t="s">
        <v>375</v>
      </c>
      <c r="C8" s="23" t="s">
        <v>376</v>
      </c>
      <c r="D8" s="1" t="s">
        <v>377</v>
      </c>
      <c r="E8" s="5"/>
    </row>
    <row r="9" spans="1:5" x14ac:dyDescent="0.3">
      <c r="A9" s="15" t="s">
        <v>378</v>
      </c>
      <c r="B9" s="25"/>
      <c r="C9" s="26"/>
      <c r="E9" s="5"/>
    </row>
    <row r="10" spans="1:5" ht="100.8" x14ac:dyDescent="0.3">
      <c r="A10" s="23" t="s">
        <v>379</v>
      </c>
      <c r="B10" s="8" t="s">
        <v>380</v>
      </c>
      <c r="C10" s="23" t="s">
        <v>381</v>
      </c>
      <c r="E10" s="5"/>
    </row>
    <row r="11" spans="1:5" x14ac:dyDescent="0.3">
      <c r="A11" s="15" t="s">
        <v>382</v>
      </c>
      <c r="B11" s="25"/>
      <c r="C11" s="26"/>
    </row>
    <row r="12" spans="1:5" ht="86.4" x14ac:dyDescent="0.3">
      <c r="A12" s="23" t="s">
        <v>383</v>
      </c>
      <c r="B12" s="8" t="s">
        <v>384</v>
      </c>
      <c r="C12" s="23" t="s">
        <v>385</v>
      </c>
      <c r="E12" s="3" t="s">
        <v>386</v>
      </c>
    </row>
    <row r="13" spans="1:5" x14ac:dyDescent="0.3">
      <c r="A13" s="15" t="s">
        <v>387</v>
      </c>
      <c r="B13" s="25"/>
      <c r="C13" s="26"/>
      <c r="E13" s="4"/>
    </row>
    <row r="14" spans="1:5" ht="86.4" x14ac:dyDescent="0.3">
      <c r="A14" s="23" t="s">
        <v>388</v>
      </c>
      <c r="B14" s="8" t="s">
        <v>389</v>
      </c>
      <c r="C14" s="23" t="s">
        <v>390</v>
      </c>
      <c r="E14" s="4" t="s">
        <v>391</v>
      </c>
    </row>
    <row r="15" spans="1:5" x14ac:dyDescent="0.3">
      <c r="A15" s="15" t="s">
        <v>392</v>
      </c>
      <c r="B15" s="7"/>
      <c r="C15" s="15"/>
      <c r="E15" s="5" t="s">
        <v>393</v>
      </c>
    </row>
    <row r="16" spans="1:5" ht="86.4" x14ac:dyDescent="0.3">
      <c r="A16" s="23" t="s">
        <v>394</v>
      </c>
      <c r="B16" s="8" t="s">
        <v>395</v>
      </c>
      <c r="C16" s="23" t="s">
        <v>396</v>
      </c>
      <c r="E16" s="4" t="s">
        <v>397</v>
      </c>
    </row>
    <row r="17" spans="1:5" x14ac:dyDescent="0.3">
      <c r="A17" s="15" t="s">
        <v>398</v>
      </c>
      <c r="B17" s="25"/>
      <c r="C17" s="26"/>
    </row>
    <row r="18" spans="1:5" ht="100.8" x14ac:dyDescent="0.3">
      <c r="A18" s="23" t="s">
        <v>399</v>
      </c>
      <c r="B18" s="8" t="s">
        <v>400</v>
      </c>
      <c r="C18" s="24" t="s">
        <v>401</v>
      </c>
      <c r="E18" s="3" t="s">
        <v>402</v>
      </c>
    </row>
    <row r="19" spans="1:5" x14ac:dyDescent="0.3">
      <c r="A19" s="15" t="s">
        <v>403</v>
      </c>
      <c r="B19" s="7"/>
      <c r="C19" s="15"/>
      <c r="E19" s="4"/>
    </row>
    <row r="20" spans="1:5" ht="100.8" x14ac:dyDescent="0.3">
      <c r="A20" s="23" t="s">
        <v>404</v>
      </c>
      <c r="B20" s="8" t="s">
        <v>405</v>
      </c>
      <c r="C20" s="23" t="s">
        <v>406</v>
      </c>
      <c r="E20" s="4" t="s">
        <v>407</v>
      </c>
    </row>
    <row r="21" spans="1:5" x14ac:dyDescent="0.3">
      <c r="A21" s="15" t="s">
        <v>408</v>
      </c>
      <c r="B21" s="25"/>
      <c r="C21" s="26"/>
      <c r="E21" s="4" t="s">
        <v>409</v>
      </c>
    </row>
    <row r="22" spans="1:5" ht="100.8" x14ac:dyDescent="0.3">
      <c r="A22" s="23" t="s">
        <v>410</v>
      </c>
      <c r="B22" s="8" t="s">
        <v>411</v>
      </c>
      <c r="C22" s="24" t="s">
        <v>412</v>
      </c>
    </row>
    <row r="23" spans="1:5" ht="18" x14ac:dyDescent="0.3">
      <c r="B23" s="8"/>
      <c r="E23" s="3" t="s">
        <v>413</v>
      </c>
    </row>
    <row r="24" spans="1:5" x14ac:dyDescent="0.3">
      <c r="B24" s="8"/>
      <c r="E24" s="4"/>
    </row>
    <row r="25" spans="1:5" x14ac:dyDescent="0.3">
      <c r="B25" s="8"/>
      <c r="E25" s="4" t="s">
        <v>414</v>
      </c>
    </row>
    <row r="26" spans="1:5" x14ac:dyDescent="0.3">
      <c r="B26" s="8"/>
    </row>
    <row r="27" spans="1:5" ht="18" x14ac:dyDescent="0.3">
      <c r="B27" s="8"/>
      <c r="E27" s="3" t="s">
        <v>415</v>
      </c>
    </row>
    <row r="28" spans="1:5" x14ac:dyDescent="0.3">
      <c r="B28" s="8"/>
      <c r="E28" s="4"/>
    </row>
    <row r="29" spans="1:5" x14ac:dyDescent="0.3">
      <c r="B29" s="8"/>
      <c r="E29" s="5" t="s">
        <v>416</v>
      </c>
    </row>
    <row r="30" spans="1:5" x14ac:dyDescent="0.3">
      <c r="B30" s="8"/>
      <c r="E30" s="4" t="s">
        <v>417</v>
      </c>
    </row>
    <row r="31" spans="1:5" x14ac:dyDescent="0.3">
      <c r="B31" s="8"/>
    </row>
    <row r="32" spans="1:5" ht="18" x14ac:dyDescent="0.3">
      <c r="B32" s="8"/>
      <c r="E32" s="3" t="s">
        <v>418</v>
      </c>
    </row>
    <row r="33" spans="2:5" x14ac:dyDescent="0.3">
      <c r="B33" s="8"/>
      <c r="E33" s="4"/>
    </row>
    <row r="34" spans="2:5" x14ac:dyDescent="0.3">
      <c r="B34" s="8"/>
      <c r="E34" s="4" t="s">
        <v>419</v>
      </c>
    </row>
    <row r="35" spans="2:5" x14ac:dyDescent="0.3">
      <c r="B35" s="8"/>
      <c r="E35" s="4" t="s">
        <v>420</v>
      </c>
    </row>
    <row r="36" spans="2:5" x14ac:dyDescent="0.3">
      <c r="B36" s="8"/>
    </row>
    <row r="37" spans="2:5" ht="18" x14ac:dyDescent="0.3">
      <c r="B37" s="8"/>
      <c r="E37" s="3" t="s">
        <v>421</v>
      </c>
    </row>
    <row r="38" spans="2:5" x14ac:dyDescent="0.3">
      <c r="B38" s="8"/>
    </row>
    <row r="39" spans="2:5" x14ac:dyDescent="0.3">
      <c r="B39" s="8"/>
      <c r="E39" t="s">
        <v>422</v>
      </c>
    </row>
    <row r="40" spans="2:5" x14ac:dyDescent="0.3">
      <c r="B40" s="8"/>
    </row>
    <row r="41" spans="2:5" x14ac:dyDescent="0.3">
      <c r="B41" s="8"/>
      <c r="E41" t="s">
        <v>423</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C1470-79E9-4878-8F21-53D93147D241}">
  <sheetPr codeName="Sheet9"/>
  <dimension ref="A1:T66"/>
  <sheetViews>
    <sheetView topLeftCell="A45" workbookViewId="0">
      <selection activeCell="N54" sqref="N54"/>
    </sheetView>
  </sheetViews>
  <sheetFormatPr defaultRowHeight="14.4" customHeight="1" x14ac:dyDescent="0.3"/>
  <cols>
    <col min="1" max="1" width="21.77734375" customWidth="1"/>
    <col min="2" max="2" width="22.109375" customWidth="1"/>
    <col min="3" max="3" width="14.109375" customWidth="1"/>
    <col min="4" max="5" width="13.33203125" customWidth="1"/>
    <col min="6" max="6" width="13.6640625" customWidth="1"/>
    <col min="7" max="7" width="15.44140625" customWidth="1"/>
    <col min="8" max="8" width="12.6640625" customWidth="1"/>
    <col min="9" max="10" width="15.44140625" customWidth="1"/>
    <col min="15" max="15" width="10.77734375" customWidth="1"/>
    <col min="16" max="16" width="12.88671875" customWidth="1"/>
    <col min="17" max="17" width="17.33203125" customWidth="1"/>
    <col min="18" max="18" width="13.77734375" customWidth="1"/>
    <col min="20" max="20" width="13" customWidth="1"/>
  </cols>
  <sheetData>
    <row r="1" spans="1:20" ht="18" x14ac:dyDescent="0.3">
      <c r="A1" s="43" t="s">
        <v>424</v>
      </c>
      <c r="B1" s="44"/>
      <c r="C1" s="44"/>
      <c r="D1" s="44"/>
      <c r="E1" s="44"/>
      <c r="F1" s="44"/>
      <c r="G1" s="44"/>
      <c r="H1" s="44"/>
      <c r="I1" s="44"/>
      <c r="J1" s="44"/>
      <c r="K1" s="44"/>
      <c r="L1" s="44"/>
      <c r="M1" s="44"/>
      <c r="N1" s="44"/>
      <c r="O1" s="44"/>
      <c r="P1" s="44"/>
      <c r="Q1" s="44"/>
      <c r="R1" s="44"/>
      <c r="S1" s="44"/>
      <c r="T1" s="44"/>
    </row>
    <row r="2" spans="1:20" x14ac:dyDescent="0.3"/>
    <row r="3" spans="1:20" ht="28.8" x14ac:dyDescent="0.3">
      <c r="A3" s="40" t="s">
        <v>425</v>
      </c>
      <c r="B3" s="40" t="s">
        <v>426</v>
      </c>
      <c r="C3" s="40"/>
      <c r="D3" s="40" t="s">
        <v>0</v>
      </c>
      <c r="E3" s="40" t="s">
        <v>427</v>
      </c>
      <c r="F3" s="40" t="s">
        <v>22</v>
      </c>
      <c r="G3" s="40" t="s">
        <v>428</v>
      </c>
      <c r="H3" s="40" t="s">
        <v>429</v>
      </c>
      <c r="I3" s="40" t="s">
        <v>12</v>
      </c>
      <c r="J3" s="40"/>
      <c r="K3" s="40" t="s">
        <v>430</v>
      </c>
      <c r="L3" s="40" t="s">
        <v>431</v>
      </c>
      <c r="M3" s="40" t="s">
        <v>432</v>
      </c>
      <c r="N3" s="40" t="s">
        <v>433</v>
      </c>
      <c r="O3" s="40" t="s">
        <v>434</v>
      </c>
      <c r="P3" s="40" t="s">
        <v>435</v>
      </c>
      <c r="Q3" s="40" t="s">
        <v>436</v>
      </c>
      <c r="R3" s="40" t="s">
        <v>243</v>
      </c>
      <c r="S3" s="40" t="s">
        <v>437</v>
      </c>
      <c r="T3" s="40" t="s">
        <v>438</v>
      </c>
    </row>
    <row r="4" spans="1:20" x14ac:dyDescent="0.3">
      <c r="A4" s="42" t="s">
        <v>7</v>
      </c>
      <c r="B4" s="41" t="s">
        <v>47</v>
      </c>
      <c r="C4" s="41"/>
      <c r="D4" s="41">
        <v>5</v>
      </c>
      <c r="E4" s="41" t="s">
        <v>439</v>
      </c>
      <c r="F4" s="41" t="s">
        <v>439</v>
      </c>
      <c r="G4" s="41" t="s">
        <v>439</v>
      </c>
      <c r="H4" s="41" t="s">
        <v>439</v>
      </c>
      <c r="I4" s="41" t="s">
        <v>439</v>
      </c>
      <c r="J4" s="41"/>
      <c r="K4" s="41" t="s">
        <v>439</v>
      </c>
      <c r="L4" s="41" t="s">
        <v>439</v>
      </c>
      <c r="M4" s="41" t="s">
        <v>439</v>
      </c>
      <c r="N4" s="41" t="s">
        <v>439</v>
      </c>
      <c r="O4" s="41" t="s">
        <v>439</v>
      </c>
      <c r="P4" s="41" t="s">
        <v>439</v>
      </c>
      <c r="Q4" s="41" t="s">
        <v>439</v>
      </c>
      <c r="R4" s="41" t="s">
        <v>439</v>
      </c>
      <c r="S4" s="41" t="s">
        <v>439</v>
      </c>
      <c r="T4" s="41" t="s">
        <v>439</v>
      </c>
    </row>
    <row r="5" spans="1:20" x14ac:dyDescent="0.3">
      <c r="A5" s="42" t="s">
        <v>3</v>
      </c>
      <c r="B5" s="41" t="s">
        <v>47</v>
      </c>
      <c r="C5" s="41"/>
      <c r="D5" s="41">
        <v>5</v>
      </c>
      <c r="E5" s="41" t="s">
        <v>439</v>
      </c>
      <c r="F5" s="41" t="s">
        <v>439</v>
      </c>
      <c r="G5" s="41" t="s">
        <v>439</v>
      </c>
      <c r="H5" s="41" t="s">
        <v>439</v>
      </c>
      <c r="I5" s="41" t="s">
        <v>439</v>
      </c>
      <c r="J5" s="41"/>
      <c r="K5" s="41" t="s">
        <v>439</v>
      </c>
      <c r="L5" s="41" t="s">
        <v>439</v>
      </c>
      <c r="M5" s="41" t="s">
        <v>439</v>
      </c>
      <c r="N5" s="41" t="s">
        <v>439</v>
      </c>
      <c r="O5" s="41" t="s">
        <v>439</v>
      </c>
      <c r="P5" s="41" t="s">
        <v>439</v>
      </c>
      <c r="Q5" s="41" t="s">
        <v>439</v>
      </c>
      <c r="R5" s="41" t="s">
        <v>439</v>
      </c>
      <c r="S5" s="41" t="s">
        <v>439</v>
      </c>
      <c r="T5" s="41" t="s">
        <v>439</v>
      </c>
    </row>
    <row r="6" spans="1:20" x14ac:dyDescent="0.3">
      <c r="A6" s="42" t="s">
        <v>440</v>
      </c>
      <c r="B6" s="41" t="s">
        <v>47</v>
      </c>
      <c r="C6" s="41"/>
      <c r="D6" s="41">
        <v>4</v>
      </c>
      <c r="E6" s="41" t="s">
        <v>439</v>
      </c>
      <c r="F6" s="41" t="s">
        <v>439</v>
      </c>
      <c r="G6" s="41" t="s">
        <v>439</v>
      </c>
      <c r="H6" s="41" t="s">
        <v>439</v>
      </c>
      <c r="I6" s="41"/>
      <c r="J6" s="41"/>
      <c r="K6" s="41" t="s">
        <v>439</v>
      </c>
      <c r="L6" s="41" t="s">
        <v>439</v>
      </c>
      <c r="M6" s="41" t="s">
        <v>439</v>
      </c>
      <c r="N6" s="41" t="s">
        <v>439</v>
      </c>
      <c r="O6" s="41" t="s">
        <v>439</v>
      </c>
      <c r="P6" s="41"/>
      <c r="Q6" s="41" t="s">
        <v>439</v>
      </c>
      <c r="R6" s="41" t="s">
        <v>439</v>
      </c>
      <c r="S6" s="41" t="s">
        <v>439</v>
      </c>
      <c r="T6" s="41" t="s">
        <v>439</v>
      </c>
    </row>
    <row r="7" spans="1:20" x14ac:dyDescent="0.3">
      <c r="A7" s="42" t="s">
        <v>19</v>
      </c>
      <c r="B7" s="41" t="s">
        <v>47</v>
      </c>
      <c r="C7" s="41"/>
      <c r="D7" s="41">
        <v>4</v>
      </c>
      <c r="E7" s="41" t="s">
        <v>439</v>
      </c>
      <c r="F7" s="41" t="s">
        <v>439</v>
      </c>
      <c r="G7" s="41" t="s">
        <v>439</v>
      </c>
      <c r="H7" s="41" t="s">
        <v>439</v>
      </c>
      <c r="I7" s="41" t="s">
        <v>439</v>
      </c>
      <c r="J7" s="41"/>
      <c r="K7" s="41" t="s">
        <v>439</v>
      </c>
      <c r="L7" s="41" t="s">
        <v>439</v>
      </c>
      <c r="M7" s="41" t="s">
        <v>439</v>
      </c>
      <c r="N7" s="41" t="s">
        <v>439</v>
      </c>
      <c r="O7" s="41" t="s">
        <v>439</v>
      </c>
      <c r="P7" s="41" t="s">
        <v>439</v>
      </c>
      <c r="Q7" s="41" t="s">
        <v>439</v>
      </c>
      <c r="R7" s="41" t="s">
        <v>439</v>
      </c>
      <c r="S7" s="41" t="s">
        <v>439</v>
      </c>
      <c r="T7" s="41" t="s">
        <v>439</v>
      </c>
    </row>
    <row r="8" spans="1:20" x14ac:dyDescent="0.3">
      <c r="A8" s="42" t="s">
        <v>1</v>
      </c>
      <c r="B8" s="41" t="s">
        <v>47</v>
      </c>
      <c r="C8" s="41"/>
      <c r="D8" s="41">
        <v>5</v>
      </c>
      <c r="E8" s="41" t="s">
        <v>439</v>
      </c>
      <c r="F8" s="41" t="s">
        <v>439</v>
      </c>
      <c r="G8" s="41" t="s">
        <v>439</v>
      </c>
      <c r="H8" s="41" t="s">
        <v>439</v>
      </c>
      <c r="I8" s="41"/>
      <c r="J8" s="41"/>
      <c r="K8" s="41" t="s">
        <v>439</v>
      </c>
      <c r="L8" s="41" t="s">
        <v>439</v>
      </c>
      <c r="M8" s="41" t="s">
        <v>439</v>
      </c>
      <c r="N8" s="41" t="s">
        <v>439</v>
      </c>
      <c r="O8" s="41" t="s">
        <v>439</v>
      </c>
      <c r="P8" s="41" t="s">
        <v>439</v>
      </c>
      <c r="Q8" s="41" t="s">
        <v>439</v>
      </c>
      <c r="R8" s="41" t="s">
        <v>439</v>
      </c>
      <c r="S8" s="41" t="s">
        <v>439</v>
      </c>
      <c r="T8" s="41" t="s">
        <v>439</v>
      </c>
    </row>
    <row r="9" spans="1:20" x14ac:dyDescent="0.3">
      <c r="A9" s="42" t="s">
        <v>20</v>
      </c>
      <c r="B9" s="41" t="s">
        <v>47</v>
      </c>
      <c r="C9" s="41"/>
      <c r="D9" s="41">
        <v>5</v>
      </c>
      <c r="E9" s="41" t="s">
        <v>439</v>
      </c>
      <c r="F9" s="41" t="s">
        <v>439</v>
      </c>
      <c r="G9" s="41" t="s">
        <v>439</v>
      </c>
      <c r="H9" s="41" t="s">
        <v>439</v>
      </c>
      <c r="I9" s="41" t="s">
        <v>439</v>
      </c>
      <c r="J9" s="41"/>
      <c r="K9" s="41" t="s">
        <v>439</v>
      </c>
      <c r="L9" s="41" t="s">
        <v>439</v>
      </c>
      <c r="M9" s="41" t="s">
        <v>439</v>
      </c>
      <c r="N9" s="41" t="s">
        <v>439</v>
      </c>
      <c r="O9" s="41" t="s">
        <v>439</v>
      </c>
      <c r="P9" s="41" t="s">
        <v>439</v>
      </c>
      <c r="Q9" s="41" t="s">
        <v>439</v>
      </c>
      <c r="R9" s="41" t="s">
        <v>439</v>
      </c>
      <c r="S9" s="41" t="s">
        <v>439</v>
      </c>
      <c r="T9" s="41" t="s">
        <v>439</v>
      </c>
    </row>
    <row r="10" spans="1:20" x14ac:dyDescent="0.3">
      <c r="A10" s="42" t="s">
        <v>17</v>
      </c>
      <c r="B10" s="41" t="s">
        <v>256</v>
      </c>
      <c r="C10" s="41"/>
      <c r="D10" s="41">
        <v>4</v>
      </c>
      <c r="E10" s="41" t="s">
        <v>439</v>
      </c>
      <c r="F10" s="41" t="s">
        <v>439</v>
      </c>
      <c r="G10" s="41" t="s">
        <v>439</v>
      </c>
      <c r="H10" s="41" t="s">
        <v>439</v>
      </c>
      <c r="I10" s="41" t="s">
        <v>439</v>
      </c>
      <c r="J10" s="41"/>
      <c r="K10" s="41" t="s">
        <v>439</v>
      </c>
      <c r="L10" s="41" t="s">
        <v>439</v>
      </c>
      <c r="M10" s="41" t="s">
        <v>439</v>
      </c>
      <c r="N10" s="41" t="s">
        <v>439</v>
      </c>
      <c r="O10" s="41" t="s">
        <v>439</v>
      </c>
      <c r="P10" s="41" t="s">
        <v>439</v>
      </c>
      <c r="Q10" s="41" t="s">
        <v>439</v>
      </c>
      <c r="R10" s="41" t="s">
        <v>439</v>
      </c>
      <c r="S10" s="41" t="s">
        <v>439</v>
      </c>
      <c r="T10" s="41" t="s">
        <v>439</v>
      </c>
    </row>
    <row r="11" spans="1:20" x14ac:dyDescent="0.3">
      <c r="A11" s="42" t="s">
        <v>13</v>
      </c>
      <c r="B11" s="41" t="s">
        <v>256</v>
      </c>
      <c r="C11" s="41"/>
      <c r="D11" s="41">
        <v>4</v>
      </c>
      <c r="E11" s="41" t="s">
        <v>439</v>
      </c>
      <c r="F11" s="41" t="s">
        <v>439</v>
      </c>
      <c r="G11" s="41" t="s">
        <v>439</v>
      </c>
      <c r="H11" s="41" t="s">
        <v>439</v>
      </c>
      <c r="I11" s="41" t="s">
        <v>439</v>
      </c>
      <c r="J11" s="41"/>
      <c r="K11" s="41" t="s">
        <v>439</v>
      </c>
      <c r="L11" s="41" t="s">
        <v>439</v>
      </c>
      <c r="M11" s="41" t="s">
        <v>439</v>
      </c>
      <c r="N11" s="41" t="s">
        <v>439</v>
      </c>
      <c r="O11" s="41" t="s">
        <v>439</v>
      </c>
      <c r="P11" s="41" t="s">
        <v>439</v>
      </c>
      <c r="Q11" s="41" t="s">
        <v>439</v>
      </c>
      <c r="R11" s="41" t="s">
        <v>439</v>
      </c>
      <c r="S11" s="41" t="s">
        <v>439</v>
      </c>
      <c r="T11" s="41" t="s">
        <v>439</v>
      </c>
    </row>
    <row r="12" spans="1:20" x14ac:dyDescent="0.3">
      <c r="A12" s="42" t="s">
        <v>15</v>
      </c>
      <c r="B12" s="41" t="s">
        <v>256</v>
      </c>
      <c r="C12" s="41"/>
      <c r="D12" s="41">
        <v>4</v>
      </c>
      <c r="E12" s="41" t="s">
        <v>439</v>
      </c>
      <c r="F12" s="41" t="s">
        <v>439</v>
      </c>
      <c r="G12" s="41" t="s">
        <v>439</v>
      </c>
      <c r="H12" s="41" t="s">
        <v>439</v>
      </c>
      <c r="I12" s="41" t="s">
        <v>439</v>
      </c>
      <c r="J12" s="41"/>
      <c r="K12" s="41" t="s">
        <v>439</v>
      </c>
      <c r="L12" s="41" t="s">
        <v>439</v>
      </c>
      <c r="M12" s="41" t="s">
        <v>439</v>
      </c>
      <c r="N12" s="41" t="s">
        <v>439</v>
      </c>
      <c r="O12" s="41" t="s">
        <v>439</v>
      </c>
      <c r="P12" s="41" t="s">
        <v>439</v>
      </c>
      <c r="Q12" s="41" t="s">
        <v>439</v>
      </c>
      <c r="R12" s="41" t="s">
        <v>439</v>
      </c>
      <c r="S12" s="41" t="s">
        <v>439</v>
      </c>
      <c r="T12" s="41" t="s">
        <v>439</v>
      </c>
    </row>
    <row r="13" spans="1:20" x14ac:dyDescent="0.3">
      <c r="A13" s="42" t="s">
        <v>11</v>
      </c>
      <c r="B13" s="41" t="s">
        <v>256</v>
      </c>
      <c r="C13" s="41"/>
      <c r="D13" s="41">
        <v>4</v>
      </c>
      <c r="E13" s="41" t="s">
        <v>439</v>
      </c>
      <c r="F13" s="41" t="s">
        <v>439</v>
      </c>
      <c r="G13" s="41" t="s">
        <v>439</v>
      </c>
      <c r="H13" s="41" t="s">
        <v>439</v>
      </c>
      <c r="I13" s="41" t="s">
        <v>439</v>
      </c>
      <c r="J13" s="41"/>
      <c r="K13" s="41" t="s">
        <v>439</v>
      </c>
      <c r="L13" s="41" t="s">
        <v>439</v>
      </c>
      <c r="M13" s="41" t="s">
        <v>439</v>
      </c>
      <c r="N13" s="41" t="s">
        <v>439</v>
      </c>
      <c r="O13" s="41" t="s">
        <v>439</v>
      </c>
      <c r="P13" s="41" t="s">
        <v>439</v>
      </c>
      <c r="Q13" s="41" t="s">
        <v>439</v>
      </c>
      <c r="R13" s="41" t="s">
        <v>439</v>
      </c>
      <c r="S13" s="41" t="s">
        <v>439</v>
      </c>
      <c r="T13" s="41" t="s">
        <v>439</v>
      </c>
    </row>
    <row r="14" spans="1:20" x14ac:dyDescent="0.3">
      <c r="A14" s="42" t="s">
        <v>5</v>
      </c>
      <c r="B14" s="41" t="s">
        <v>256</v>
      </c>
      <c r="C14" s="41"/>
      <c r="D14" s="41">
        <v>4</v>
      </c>
      <c r="E14" s="41" t="s">
        <v>439</v>
      </c>
      <c r="F14" s="41" t="s">
        <v>439</v>
      </c>
      <c r="G14" s="41" t="s">
        <v>439</v>
      </c>
      <c r="H14" s="41" t="s">
        <v>439</v>
      </c>
      <c r="I14" s="41" t="s">
        <v>439</v>
      </c>
      <c r="J14" s="41"/>
      <c r="K14" s="41" t="s">
        <v>439</v>
      </c>
      <c r="L14" s="41" t="s">
        <v>439</v>
      </c>
      <c r="M14" s="41" t="s">
        <v>439</v>
      </c>
      <c r="N14" s="41" t="s">
        <v>439</v>
      </c>
      <c r="O14" s="41" t="s">
        <v>439</v>
      </c>
      <c r="P14" s="41" t="s">
        <v>439</v>
      </c>
      <c r="Q14" s="41" t="s">
        <v>439</v>
      </c>
      <c r="R14" s="41" t="s">
        <v>439</v>
      </c>
      <c r="S14" s="41" t="s">
        <v>439</v>
      </c>
      <c r="T14" s="41" t="s">
        <v>439</v>
      </c>
    </row>
    <row r="15" spans="1:20" x14ac:dyDescent="0.3">
      <c r="A15" s="42" t="s">
        <v>23</v>
      </c>
      <c r="B15" s="41" t="s">
        <v>256</v>
      </c>
      <c r="C15" s="41"/>
      <c r="D15" s="41">
        <v>5</v>
      </c>
      <c r="E15" s="41" t="s">
        <v>439</v>
      </c>
      <c r="F15" s="41" t="s">
        <v>439</v>
      </c>
      <c r="G15" s="41" t="s">
        <v>439</v>
      </c>
      <c r="H15" s="41" t="s">
        <v>439</v>
      </c>
      <c r="I15" s="41" t="s">
        <v>439</v>
      </c>
      <c r="J15" s="41"/>
      <c r="K15" s="41" t="s">
        <v>439</v>
      </c>
      <c r="L15" s="41" t="s">
        <v>439</v>
      </c>
      <c r="M15" s="41" t="s">
        <v>439</v>
      </c>
      <c r="N15" s="41" t="s">
        <v>439</v>
      </c>
      <c r="O15" s="41" t="s">
        <v>439</v>
      </c>
      <c r="P15" s="41" t="s">
        <v>439</v>
      </c>
      <c r="Q15" s="41" t="s">
        <v>439</v>
      </c>
      <c r="R15" s="41" t="s">
        <v>439</v>
      </c>
      <c r="S15" s="41" t="s">
        <v>439</v>
      </c>
      <c r="T15" s="41" t="s">
        <v>439</v>
      </c>
    </row>
    <row r="16" spans="1:20" x14ac:dyDescent="0.3">
      <c r="A16" s="42" t="s">
        <v>10</v>
      </c>
      <c r="B16" s="41" t="s">
        <v>249</v>
      </c>
      <c r="C16" s="41"/>
      <c r="D16" s="41">
        <v>5</v>
      </c>
      <c r="E16" s="41" t="s">
        <v>439</v>
      </c>
      <c r="F16" s="41" t="s">
        <v>439</v>
      </c>
      <c r="G16" s="41" t="s">
        <v>439</v>
      </c>
      <c r="H16" s="41" t="s">
        <v>439</v>
      </c>
      <c r="I16" s="41" t="s">
        <v>439</v>
      </c>
      <c r="J16" s="41"/>
      <c r="K16" s="41" t="s">
        <v>439</v>
      </c>
      <c r="L16" s="41" t="s">
        <v>439</v>
      </c>
      <c r="M16" s="41" t="s">
        <v>439</v>
      </c>
      <c r="N16" s="41" t="s">
        <v>439</v>
      </c>
      <c r="O16" s="41" t="s">
        <v>439</v>
      </c>
      <c r="P16" s="41" t="s">
        <v>439</v>
      </c>
      <c r="Q16" s="41" t="s">
        <v>439</v>
      </c>
      <c r="R16" s="41" t="s">
        <v>439</v>
      </c>
      <c r="S16" s="41" t="s">
        <v>439</v>
      </c>
      <c r="T16" s="41" t="s">
        <v>439</v>
      </c>
    </row>
    <row r="17" spans="1:20" x14ac:dyDescent="0.3">
      <c r="A17" s="42" t="s">
        <v>2</v>
      </c>
      <c r="B17" s="41" t="s">
        <v>249</v>
      </c>
      <c r="C17" s="41"/>
      <c r="D17" s="41">
        <v>5</v>
      </c>
      <c r="E17" s="41" t="s">
        <v>439</v>
      </c>
      <c r="F17" s="41" t="s">
        <v>439</v>
      </c>
      <c r="G17" s="41" t="s">
        <v>439</v>
      </c>
      <c r="H17" s="41" t="s">
        <v>439</v>
      </c>
      <c r="I17" s="41" t="s">
        <v>439</v>
      </c>
      <c r="J17" s="41"/>
      <c r="K17" s="41" t="s">
        <v>439</v>
      </c>
      <c r="L17" s="41" t="s">
        <v>439</v>
      </c>
      <c r="M17" s="41" t="s">
        <v>439</v>
      </c>
      <c r="N17" s="41" t="s">
        <v>439</v>
      </c>
      <c r="O17" s="41" t="s">
        <v>439</v>
      </c>
      <c r="P17" s="41" t="s">
        <v>439</v>
      </c>
      <c r="Q17" s="41" t="s">
        <v>439</v>
      </c>
      <c r="R17" s="41" t="s">
        <v>439</v>
      </c>
      <c r="S17" s="41" t="s">
        <v>439</v>
      </c>
      <c r="T17" s="41" t="s">
        <v>439</v>
      </c>
    </row>
    <row r="18" spans="1:20" x14ac:dyDescent="0.3">
      <c r="A18" s="42" t="s">
        <v>4</v>
      </c>
      <c r="B18" s="41" t="s">
        <v>4</v>
      </c>
      <c r="C18" s="41"/>
      <c r="D18" s="41">
        <v>5</v>
      </c>
      <c r="E18" s="41" t="s">
        <v>439</v>
      </c>
      <c r="F18" s="41" t="s">
        <v>439</v>
      </c>
      <c r="G18" s="41" t="s">
        <v>439</v>
      </c>
      <c r="H18" s="41" t="s">
        <v>439</v>
      </c>
      <c r="I18" s="41" t="s">
        <v>439</v>
      </c>
      <c r="J18" s="41"/>
      <c r="K18" s="41" t="s">
        <v>439</v>
      </c>
      <c r="L18" s="41" t="s">
        <v>439</v>
      </c>
      <c r="M18" s="41" t="s">
        <v>439</v>
      </c>
      <c r="N18" s="41" t="s">
        <v>439</v>
      </c>
      <c r="O18" s="41" t="s">
        <v>439</v>
      </c>
      <c r="P18" s="41" t="s">
        <v>439</v>
      </c>
      <c r="Q18" s="41" t="s">
        <v>439</v>
      </c>
      <c r="R18" s="41" t="s">
        <v>439</v>
      </c>
      <c r="S18" s="41" t="s">
        <v>439</v>
      </c>
      <c r="T18" s="41" t="s">
        <v>439</v>
      </c>
    </row>
    <row r="19" spans="1:20" x14ac:dyDescent="0.3">
      <c r="A19" s="42" t="s">
        <v>273</v>
      </c>
      <c r="B19" s="41" t="s">
        <v>4</v>
      </c>
      <c r="C19" s="41"/>
      <c r="D19" s="41">
        <v>5</v>
      </c>
      <c r="E19" s="41" t="s">
        <v>439</v>
      </c>
      <c r="F19" s="41" t="s">
        <v>439</v>
      </c>
      <c r="G19" s="41" t="s">
        <v>439</v>
      </c>
      <c r="H19" s="41" t="s">
        <v>439</v>
      </c>
      <c r="I19" s="41" t="s">
        <v>439</v>
      </c>
      <c r="J19" s="41"/>
      <c r="K19" s="41" t="s">
        <v>439</v>
      </c>
      <c r="L19" s="41" t="s">
        <v>439</v>
      </c>
      <c r="M19" s="41" t="s">
        <v>439</v>
      </c>
      <c r="N19" s="41" t="s">
        <v>439</v>
      </c>
      <c r="O19" s="41" t="s">
        <v>439</v>
      </c>
      <c r="P19" s="41" t="s">
        <v>439</v>
      </c>
      <c r="Q19" s="41" t="s">
        <v>439</v>
      </c>
      <c r="R19" s="41" t="s">
        <v>439</v>
      </c>
      <c r="S19" s="41" t="s">
        <v>439</v>
      </c>
      <c r="T19" s="41" t="s">
        <v>439</v>
      </c>
    </row>
    <row r="20" spans="1:20" x14ac:dyDescent="0.3">
      <c r="A20" s="40" t="s">
        <v>283</v>
      </c>
      <c r="B20" s="39" t="s">
        <v>441</v>
      </c>
      <c r="C20" s="39"/>
      <c r="D20" s="39">
        <v>4</v>
      </c>
      <c r="E20" s="39" t="s">
        <v>439</v>
      </c>
      <c r="F20" s="39" t="s">
        <v>439</v>
      </c>
      <c r="G20" s="39"/>
      <c r="H20" s="39" t="s">
        <v>439</v>
      </c>
      <c r="I20" s="39" t="s">
        <v>439</v>
      </c>
      <c r="J20" s="39"/>
      <c r="K20" s="39" t="s">
        <v>439</v>
      </c>
      <c r="L20" s="39" t="s">
        <v>439</v>
      </c>
      <c r="M20" s="39"/>
      <c r="N20" s="39"/>
      <c r="O20" s="39" t="s">
        <v>439</v>
      </c>
      <c r="P20" s="39"/>
      <c r="Q20" s="39" t="s">
        <v>439</v>
      </c>
      <c r="R20" s="39" t="s">
        <v>439</v>
      </c>
      <c r="S20" s="39"/>
      <c r="T20" s="39" t="s">
        <v>439</v>
      </c>
    </row>
    <row r="21" spans="1:20" x14ac:dyDescent="0.3">
      <c r="D21" s="2"/>
      <c r="E21" s="2"/>
      <c r="F21" s="2"/>
      <c r="G21" s="2"/>
      <c r="H21" s="2"/>
      <c r="I21" s="2"/>
      <c r="J21" s="2"/>
    </row>
    <row r="22" spans="1:20" ht="18" x14ac:dyDescent="0.3">
      <c r="A22" s="43" t="s">
        <v>442</v>
      </c>
      <c r="B22" s="44"/>
      <c r="C22" s="44"/>
      <c r="D22" s="44"/>
      <c r="E22" s="44"/>
      <c r="F22" s="44"/>
      <c r="G22" s="44"/>
      <c r="H22" s="44"/>
      <c r="I22" s="44"/>
      <c r="J22" s="44"/>
      <c r="K22" s="44"/>
      <c r="L22" s="44"/>
      <c r="M22" s="44"/>
      <c r="N22" s="44"/>
      <c r="O22" s="44"/>
      <c r="P22" s="44"/>
      <c r="Q22" s="44"/>
      <c r="R22" s="44"/>
      <c r="S22" s="44"/>
      <c r="T22" s="44"/>
    </row>
    <row r="23" spans="1:20" x14ac:dyDescent="0.3"/>
    <row r="24" spans="1:20" ht="28.8" x14ac:dyDescent="0.3">
      <c r="A24" s="40" t="s">
        <v>425</v>
      </c>
      <c r="B24" s="40" t="s">
        <v>426</v>
      </c>
      <c r="C24" s="40"/>
      <c r="D24" s="40" t="s">
        <v>0</v>
      </c>
      <c r="E24" s="40" t="s">
        <v>427</v>
      </c>
      <c r="F24" s="40" t="s">
        <v>22</v>
      </c>
      <c r="G24" s="40" t="s">
        <v>428</v>
      </c>
      <c r="H24" s="40" t="s">
        <v>429</v>
      </c>
      <c r="I24" s="40" t="s">
        <v>12</v>
      </c>
      <c r="J24" s="40"/>
      <c r="K24" s="40" t="s">
        <v>430</v>
      </c>
      <c r="L24" s="40" t="s">
        <v>431</v>
      </c>
      <c r="M24" s="40" t="s">
        <v>432</v>
      </c>
      <c r="N24" s="40" t="s">
        <v>433</v>
      </c>
      <c r="O24" s="40" t="s">
        <v>434</v>
      </c>
      <c r="P24" s="40" t="s">
        <v>435</v>
      </c>
      <c r="Q24" s="40" t="s">
        <v>436</v>
      </c>
      <c r="R24" s="40" t="s">
        <v>243</v>
      </c>
      <c r="S24" s="40" t="s">
        <v>437</v>
      </c>
      <c r="T24" s="40" t="s">
        <v>438</v>
      </c>
    </row>
    <row r="25" spans="1:20" x14ac:dyDescent="0.3">
      <c r="A25" s="42" t="s">
        <v>10</v>
      </c>
      <c r="B25" s="41" t="s">
        <v>443</v>
      </c>
      <c r="C25" s="41"/>
      <c r="D25" s="41">
        <v>5</v>
      </c>
      <c r="E25" s="41" t="s">
        <v>439</v>
      </c>
      <c r="F25" s="41" t="s">
        <v>439</v>
      </c>
      <c r="G25" s="41" t="s">
        <v>439</v>
      </c>
      <c r="H25" s="41" t="s">
        <v>439</v>
      </c>
      <c r="I25" s="41" t="s">
        <v>439</v>
      </c>
      <c r="J25" s="41"/>
      <c r="K25" s="41" t="s">
        <v>439</v>
      </c>
      <c r="L25" s="41" t="s">
        <v>439</v>
      </c>
      <c r="M25" s="41" t="s">
        <v>439</v>
      </c>
      <c r="N25" s="41" t="s">
        <v>439</v>
      </c>
      <c r="O25" s="41" t="s">
        <v>439</v>
      </c>
      <c r="P25" s="41"/>
      <c r="Q25" s="41" t="s">
        <v>439</v>
      </c>
      <c r="R25" s="41" t="s">
        <v>439</v>
      </c>
      <c r="S25" s="41" t="s">
        <v>439</v>
      </c>
      <c r="T25" s="41" t="s">
        <v>439</v>
      </c>
    </row>
    <row r="26" spans="1:20" x14ac:dyDescent="0.3">
      <c r="A26" s="42" t="s">
        <v>19</v>
      </c>
      <c r="B26" s="41" t="s">
        <v>443</v>
      </c>
      <c r="C26" s="41"/>
      <c r="D26" s="41">
        <v>3</v>
      </c>
      <c r="E26" s="41" t="s">
        <v>439</v>
      </c>
      <c r="F26" s="41"/>
      <c r="G26" s="41"/>
      <c r="H26" s="41" t="s">
        <v>439</v>
      </c>
      <c r="I26" s="41" t="s">
        <v>439</v>
      </c>
      <c r="J26" s="41"/>
      <c r="K26" s="41" t="s">
        <v>439</v>
      </c>
      <c r="L26" s="41" t="s">
        <v>439</v>
      </c>
      <c r="M26" s="41"/>
      <c r="N26" s="41"/>
      <c r="O26" s="41" t="s">
        <v>439</v>
      </c>
      <c r="P26" s="41"/>
      <c r="Q26" s="41"/>
      <c r="R26" s="41" t="s">
        <v>439</v>
      </c>
      <c r="S26" s="41" t="s">
        <v>439</v>
      </c>
      <c r="T26" s="41"/>
    </row>
    <row r="27" spans="1:20" x14ac:dyDescent="0.3">
      <c r="A27" s="42" t="s">
        <v>13</v>
      </c>
      <c r="B27" s="41" t="s">
        <v>443</v>
      </c>
      <c r="C27" s="41"/>
      <c r="D27" s="41">
        <v>4</v>
      </c>
      <c r="E27" s="41"/>
      <c r="F27" s="41" t="s">
        <v>439</v>
      </c>
      <c r="G27" s="41"/>
      <c r="H27" s="41" t="s">
        <v>439</v>
      </c>
      <c r="I27" s="41" t="s">
        <v>439</v>
      </c>
      <c r="J27" s="41"/>
      <c r="K27" s="41"/>
      <c r="L27" s="41" t="s">
        <v>439</v>
      </c>
      <c r="M27" s="41"/>
      <c r="N27" s="41"/>
      <c r="O27" s="41" t="s">
        <v>439</v>
      </c>
      <c r="P27" s="41"/>
      <c r="Q27" s="41"/>
      <c r="R27" s="41" t="s">
        <v>439</v>
      </c>
      <c r="S27" s="41"/>
      <c r="T27" s="41"/>
    </row>
    <row r="28" spans="1:20" x14ac:dyDescent="0.3">
      <c r="A28" s="42" t="s">
        <v>117</v>
      </c>
      <c r="B28" s="41" t="s">
        <v>443</v>
      </c>
      <c r="C28" s="41"/>
      <c r="D28" s="41">
        <v>3</v>
      </c>
      <c r="E28" s="41"/>
      <c r="F28" s="41" t="s">
        <v>439</v>
      </c>
      <c r="G28" s="41" t="s">
        <v>439</v>
      </c>
      <c r="H28" s="41" t="s">
        <v>439</v>
      </c>
      <c r="I28" s="41"/>
      <c r="J28" s="41"/>
      <c r="K28" s="41"/>
      <c r="L28" s="41" t="s">
        <v>439</v>
      </c>
      <c r="M28" s="41"/>
      <c r="N28" s="41"/>
      <c r="O28" s="41" t="s">
        <v>439</v>
      </c>
      <c r="P28" s="41"/>
      <c r="Q28" s="41" t="s">
        <v>439</v>
      </c>
      <c r="R28" s="41" t="s">
        <v>439</v>
      </c>
      <c r="S28" s="41"/>
      <c r="T28" s="41"/>
    </row>
    <row r="29" spans="1:20" x14ac:dyDescent="0.3">
      <c r="A29" s="42" t="s">
        <v>250</v>
      </c>
      <c r="B29" s="41" t="s">
        <v>444</v>
      </c>
      <c r="C29" s="41"/>
      <c r="D29" s="41">
        <v>4</v>
      </c>
      <c r="E29" s="41" t="s">
        <v>439</v>
      </c>
      <c r="F29" s="41"/>
      <c r="G29" s="41"/>
      <c r="H29" s="41" t="s">
        <v>439</v>
      </c>
      <c r="I29" s="41" t="s">
        <v>439</v>
      </c>
      <c r="J29" s="41"/>
      <c r="K29" s="41" t="s">
        <v>439</v>
      </c>
      <c r="L29" s="41" t="s">
        <v>439</v>
      </c>
      <c r="M29" s="41"/>
      <c r="N29" s="41"/>
      <c r="O29" s="41" t="s">
        <v>439</v>
      </c>
      <c r="P29" s="41"/>
      <c r="Q29" s="41" t="s">
        <v>439</v>
      </c>
      <c r="R29" s="41"/>
      <c r="S29" s="41"/>
      <c r="T29" s="41"/>
    </row>
    <row r="30" spans="1:20" x14ac:dyDescent="0.3">
      <c r="A30" s="42" t="s">
        <v>100</v>
      </c>
      <c r="B30" s="41" t="s">
        <v>444</v>
      </c>
      <c r="C30" s="41"/>
      <c r="D30" s="41">
        <v>4</v>
      </c>
      <c r="E30" s="41" t="s">
        <v>439</v>
      </c>
      <c r="F30" s="41" t="s">
        <v>439</v>
      </c>
      <c r="G30" s="41"/>
      <c r="H30" s="41" t="s">
        <v>439</v>
      </c>
      <c r="I30" s="41" t="s">
        <v>439</v>
      </c>
      <c r="J30" s="41"/>
      <c r="K30" s="41"/>
      <c r="L30" s="41" t="s">
        <v>439</v>
      </c>
      <c r="M30" s="41"/>
      <c r="N30" s="41"/>
      <c r="O30" s="41" t="s">
        <v>439</v>
      </c>
      <c r="P30" s="41"/>
      <c r="Q30" s="41" t="s">
        <v>439</v>
      </c>
      <c r="R30" s="41" t="s">
        <v>439</v>
      </c>
      <c r="S30" s="41"/>
      <c r="T30" s="41"/>
    </row>
    <row r="31" spans="1:20" x14ac:dyDescent="0.3">
      <c r="A31" s="42" t="s">
        <v>26</v>
      </c>
      <c r="B31" s="41" t="s">
        <v>444</v>
      </c>
      <c r="C31" s="41"/>
      <c r="D31" s="41">
        <v>5</v>
      </c>
      <c r="E31" s="41" t="s">
        <v>439</v>
      </c>
      <c r="F31" s="41" t="s">
        <v>439</v>
      </c>
      <c r="G31" s="41"/>
      <c r="H31" s="41" t="s">
        <v>439</v>
      </c>
      <c r="I31" s="41"/>
      <c r="J31" s="41"/>
      <c r="K31" s="41" t="s">
        <v>439</v>
      </c>
      <c r="L31" s="41" t="s">
        <v>439</v>
      </c>
      <c r="M31" s="41"/>
      <c r="N31" s="41" t="s">
        <v>439</v>
      </c>
      <c r="O31" s="41" t="s">
        <v>439</v>
      </c>
      <c r="P31" s="41" t="s">
        <v>439</v>
      </c>
      <c r="Q31" s="41" t="s">
        <v>439</v>
      </c>
      <c r="R31" s="41" t="s">
        <v>439</v>
      </c>
      <c r="S31" s="41" t="s">
        <v>439</v>
      </c>
      <c r="T31" s="41"/>
    </row>
    <row r="32" spans="1:20" x14ac:dyDescent="0.3">
      <c r="A32" s="42" t="s">
        <v>267</v>
      </c>
      <c r="B32" s="41" t="s">
        <v>444</v>
      </c>
      <c r="C32" s="41"/>
      <c r="D32" s="41">
        <v>4</v>
      </c>
      <c r="E32" s="41" t="s">
        <v>439</v>
      </c>
      <c r="F32" s="41" t="s">
        <v>439</v>
      </c>
      <c r="G32" s="41"/>
      <c r="H32" s="41" t="s">
        <v>439</v>
      </c>
      <c r="I32" s="41"/>
      <c r="J32" s="41"/>
      <c r="K32" s="41"/>
      <c r="L32" s="41" t="s">
        <v>439</v>
      </c>
      <c r="M32" s="41" t="s">
        <v>439</v>
      </c>
      <c r="N32" s="41"/>
      <c r="O32" s="41"/>
      <c r="P32" s="41"/>
      <c r="Q32" s="41"/>
      <c r="R32" s="41" t="s">
        <v>439</v>
      </c>
      <c r="S32" s="41" t="s">
        <v>439</v>
      </c>
      <c r="T32" s="41"/>
    </row>
    <row r="33" spans="1:20" x14ac:dyDescent="0.3">
      <c r="A33" s="42" t="s">
        <v>7</v>
      </c>
      <c r="B33" s="41" t="s">
        <v>445</v>
      </c>
      <c r="C33" s="41"/>
      <c r="D33" s="41">
        <v>5</v>
      </c>
      <c r="E33" s="41" t="s">
        <v>439</v>
      </c>
      <c r="F33" s="41" t="s">
        <v>439</v>
      </c>
      <c r="G33" s="41"/>
      <c r="H33" s="41" t="s">
        <v>439</v>
      </c>
      <c r="I33" s="41"/>
      <c r="J33" s="41"/>
      <c r="K33" s="41" t="s">
        <v>439</v>
      </c>
      <c r="L33" s="41" t="s">
        <v>439</v>
      </c>
      <c r="M33" s="41"/>
      <c r="N33" s="41" t="s">
        <v>439</v>
      </c>
      <c r="O33" s="41" t="s">
        <v>439</v>
      </c>
      <c r="P33" s="41"/>
      <c r="Q33" s="41" t="s">
        <v>439</v>
      </c>
      <c r="R33" s="41" t="s">
        <v>439</v>
      </c>
      <c r="S33" s="41" t="s">
        <v>439</v>
      </c>
      <c r="T33" s="41"/>
    </row>
    <row r="34" spans="1:20" x14ac:dyDescent="0.3">
      <c r="A34" s="42" t="s">
        <v>2</v>
      </c>
      <c r="B34" s="41" t="s">
        <v>445</v>
      </c>
      <c r="C34" s="41"/>
      <c r="D34" s="41">
        <v>5</v>
      </c>
      <c r="E34" s="41" t="s">
        <v>439</v>
      </c>
      <c r="F34" s="41" t="s">
        <v>439</v>
      </c>
      <c r="G34" s="41" t="s">
        <v>439</v>
      </c>
      <c r="H34" s="41" t="s">
        <v>439</v>
      </c>
      <c r="I34" s="41"/>
      <c r="J34" s="41"/>
      <c r="K34" s="41" t="s">
        <v>439</v>
      </c>
      <c r="L34" s="41" t="s">
        <v>439</v>
      </c>
      <c r="M34" s="41" t="s">
        <v>439</v>
      </c>
      <c r="N34" s="41" t="s">
        <v>439</v>
      </c>
      <c r="O34" s="41" t="s">
        <v>439</v>
      </c>
      <c r="P34" s="41"/>
      <c r="Q34" s="41" t="s">
        <v>439</v>
      </c>
      <c r="R34" s="41" t="s">
        <v>439</v>
      </c>
      <c r="S34" s="41" t="s">
        <v>439</v>
      </c>
      <c r="T34" s="41"/>
    </row>
    <row r="35" spans="1:20" x14ac:dyDescent="0.3">
      <c r="A35" s="42" t="s">
        <v>16</v>
      </c>
      <c r="B35" s="41" t="s">
        <v>445</v>
      </c>
      <c r="C35" s="41"/>
      <c r="D35" s="41">
        <v>4</v>
      </c>
      <c r="E35" s="41" t="s">
        <v>439</v>
      </c>
      <c r="F35" s="41" t="s">
        <v>439</v>
      </c>
      <c r="G35" s="41"/>
      <c r="H35" s="41" t="s">
        <v>439</v>
      </c>
      <c r="I35" s="41"/>
      <c r="J35" s="41"/>
      <c r="K35" s="41" t="s">
        <v>439</v>
      </c>
      <c r="L35" s="41" t="s">
        <v>439</v>
      </c>
      <c r="M35" s="41"/>
      <c r="N35" s="41"/>
      <c r="O35" s="41" t="s">
        <v>439</v>
      </c>
      <c r="P35" s="41"/>
      <c r="Q35" s="41" t="s">
        <v>439</v>
      </c>
      <c r="R35" s="41" t="s">
        <v>439</v>
      </c>
      <c r="S35" s="41"/>
      <c r="T35" s="41"/>
    </row>
    <row r="36" spans="1:20" x14ac:dyDescent="0.3">
      <c r="A36" s="42" t="s">
        <v>1</v>
      </c>
      <c r="B36" s="41" t="s">
        <v>445</v>
      </c>
      <c r="C36" s="41"/>
      <c r="D36" s="41">
        <v>5</v>
      </c>
      <c r="E36" s="41" t="s">
        <v>439</v>
      </c>
      <c r="F36" s="41" t="s">
        <v>439</v>
      </c>
      <c r="G36" s="41" t="s">
        <v>439</v>
      </c>
      <c r="H36" s="41" t="s">
        <v>439</v>
      </c>
      <c r="I36" s="41"/>
      <c r="J36" s="41"/>
      <c r="K36" s="41" t="s">
        <v>439</v>
      </c>
      <c r="L36" s="41" t="s">
        <v>439</v>
      </c>
      <c r="M36" s="41" t="s">
        <v>439</v>
      </c>
      <c r="N36" s="41" t="s">
        <v>439</v>
      </c>
      <c r="O36" s="41" t="s">
        <v>439</v>
      </c>
      <c r="P36" s="41" t="s">
        <v>439</v>
      </c>
      <c r="Q36" s="41" t="s">
        <v>439</v>
      </c>
      <c r="R36" s="41" t="s">
        <v>439</v>
      </c>
      <c r="S36" s="41" t="s">
        <v>439</v>
      </c>
      <c r="T36" s="41"/>
    </row>
    <row r="37" spans="1:20" x14ac:dyDescent="0.3">
      <c r="A37" s="42" t="s">
        <v>223</v>
      </c>
      <c r="B37" s="41" t="s">
        <v>445</v>
      </c>
      <c r="C37" s="41"/>
      <c r="D37" s="41">
        <v>5</v>
      </c>
      <c r="E37" s="41" t="s">
        <v>439</v>
      </c>
      <c r="F37" s="41"/>
      <c r="G37" s="41" t="s">
        <v>439</v>
      </c>
      <c r="H37" s="41"/>
      <c r="I37" s="41"/>
      <c r="J37" s="41"/>
      <c r="K37" s="41" t="s">
        <v>439</v>
      </c>
      <c r="L37" s="41"/>
      <c r="M37" s="41" t="s">
        <v>439</v>
      </c>
      <c r="N37" s="41" t="s">
        <v>439</v>
      </c>
      <c r="O37" s="41"/>
      <c r="P37" s="41"/>
      <c r="Q37" s="41" t="s">
        <v>439</v>
      </c>
      <c r="R37" s="41" t="s">
        <v>439</v>
      </c>
      <c r="S37" s="41" t="s">
        <v>439</v>
      </c>
      <c r="T37" s="41"/>
    </row>
    <row r="38" spans="1:20" x14ac:dyDescent="0.3">
      <c r="A38" s="42" t="s">
        <v>24</v>
      </c>
      <c r="B38" s="41" t="s">
        <v>441</v>
      </c>
      <c r="C38" s="41"/>
      <c r="D38" s="41">
        <v>5</v>
      </c>
      <c r="E38" s="41" t="s">
        <v>439</v>
      </c>
      <c r="F38" s="41" t="s">
        <v>439</v>
      </c>
      <c r="G38" s="41" t="s">
        <v>439</v>
      </c>
      <c r="H38" s="41"/>
      <c r="I38" s="41"/>
      <c r="J38" s="41"/>
      <c r="K38" s="41" t="s">
        <v>439</v>
      </c>
      <c r="L38" s="41" t="s">
        <v>439</v>
      </c>
      <c r="M38" s="41" t="s">
        <v>439</v>
      </c>
      <c r="N38" s="41" t="s">
        <v>439</v>
      </c>
      <c r="O38" s="41"/>
      <c r="P38" s="41"/>
      <c r="Q38" s="41" t="s">
        <v>439</v>
      </c>
      <c r="R38" s="41" t="s">
        <v>439</v>
      </c>
      <c r="S38" s="41" t="s">
        <v>439</v>
      </c>
      <c r="T38" s="41" t="s">
        <v>439</v>
      </c>
    </row>
    <row r="39" spans="1:20" x14ac:dyDescent="0.3">
      <c r="A39" s="42" t="s">
        <v>4</v>
      </c>
      <c r="B39" s="41" t="s">
        <v>441</v>
      </c>
      <c r="C39" s="41"/>
      <c r="D39" s="41">
        <v>4</v>
      </c>
      <c r="E39" s="41" t="s">
        <v>439</v>
      </c>
      <c r="F39" s="41" t="s">
        <v>439</v>
      </c>
      <c r="G39" s="41"/>
      <c r="H39" s="41" t="s">
        <v>439</v>
      </c>
      <c r="I39" s="41" t="s">
        <v>439</v>
      </c>
      <c r="J39" s="41"/>
      <c r="K39" s="41" t="s">
        <v>439</v>
      </c>
      <c r="L39" s="41" t="s">
        <v>439</v>
      </c>
      <c r="M39" s="41"/>
      <c r="N39" s="41"/>
      <c r="O39" s="41" t="s">
        <v>439</v>
      </c>
      <c r="P39" s="41" t="s">
        <v>439</v>
      </c>
      <c r="Q39" s="41" t="s">
        <v>439</v>
      </c>
      <c r="R39" s="41" t="s">
        <v>439</v>
      </c>
      <c r="S39" s="41"/>
      <c r="T39" s="41"/>
    </row>
    <row r="40" spans="1:20" x14ac:dyDescent="0.3">
      <c r="A40" s="42" t="s">
        <v>9</v>
      </c>
      <c r="B40" s="41" t="s">
        <v>441</v>
      </c>
      <c r="C40" s="41"/>
      <c r="D40" s="41">
        <v>3</v>
      </c>
      <c r="E40" s="41" t="s">
        <v>439</v>
      </c>
      <c r="F40" s="41"/>
      <c r="G40" s="41"/>
      <c r="H40" s="41" t="s">
        <v>439</v>
      </c>
      <c r="I40" s="41" t="s">
        <v>439</v>
      </c>
      <c r="J40" s="41"/>
      <c r="K40" s="41" t="s">
        <v>439</v>
      </c>
      <c r="L40" s="41" t="s">
        <v>439</v>
      </c>
      <c r="M40" s="41"/>
      <c r="N40" s="41" t="s">
        <v>439</v>
      </c>
      <c r="O40" s="41" t="s">
        <v>439</v>
      </c>
      <c r="P40" s="41"/>
      <c r="Q40" s="41" t="s">
        <v>439</v>
      </c>
      <c r="R40" s="41"/>
      <c r="S40" s="41"/>
      <c r="T40" s="41"/>
    </row>
    <row r="41" spans="1:20" x14ac:dyDescent="0.3">
      <c r="A41" s="42" t="s">
        <v>283</v>
      </c>
      <c r="B41" s="41" t="s">
        <v>441</v>
      </c>
      <c r="C41" s="41"/>
      <c r="D41" s="41">
        <v>4</v>
      </c>
      <c r="E41" s="41" t="s">
        <v>439</v>
      </c>
      <c r="F41" s="41" t="s">
        <v>439</v>
      </c>
      <c r="G41" s="41"/>
      <c r="H41" s="41" t="s">
        <v>439</v>
      </c>
      <c r="I41" s="41" t="s">
        <v>439</v>
      </c>
      <c r="J41" s="41"/>
      <c r="K41" s="41" t="s">
        <v>439</v>
      </c>
      <c r="L41" s="41" t="s">
        <v>439</v>
      </c>
      <c r="M41" s="41"/>
      <c r="N41" s="41"/>
      <c r="O41" s="41" t="s">
        <v>439</v>
      </c>
      <c r="P41" s="41"/>
      <c r="Q41" s="41" t="s">
        <v>439</v>
      </c>
      <c r="R41" s="41" t="s">
        <v>439</v>
      </c>
      <c r="S41" s="41"/>
      <c r="T41" s="41" t="s">
        <v>439</v>
      </c>
    </row>
    <row r="43" spans="1:20" ht="14.4" customHeight="1" x14ac:dyDescent="0.3">
      <c r="A43" s="65" t="s">
        <v>742</v>
      </c>
    </row>
    <row r="44" spans="1:20" ht="14.4" customHeight="1" x14ac:dyDescent="0.3">
      <c r="A44" s="65"/>
    </row>
    <row r="45" spans="1:20" ht="35.4" customHeight="1" x14ac:dyDescent="0.3">
      <c r="A45" s="15" t="s">
        <v>825</v>
      </c>
      <c r="B45" s="15" t="s">
        <v>425</v>
      </c>
      <c r="C45" s="15" t="s">
        <v>570</v>
      </c>
      <c r="D45" s="15" t="s">
        <v>835</v>
      </c>
      <c r="E45" s="15" t="s">
        <v>836</v>
      </c>
      <c r="F45" s="15" t="s">
        <v>0</v>
      </c>
      <c r="G45" s="15" t="s">
        <v>837</v>
      </c>
      <c r="H45" s="15" t="s">
        <v>751</v>
      </c>
      <c r="I45" s="15" t="s">
        <v>826</v>
      </c>
      <c r="J45" s="15" t="s">
        <v>827</v>
      </c>
      <c r="L45" s="66"/>
    </row>
    <row r="46" spans="1:20" ht="14.4" customHeight="1" x14ac:dyDescent="0.3">
      <c r="A46" t="s">
        <v>830</v>
      </c>
      <c r="B46" s="2" t="s">
        <v>1</v>
      </c>
      <c r="C46" s="2" t="s">
        <v>749</v>
      </c>
      <c r="D46" s="2"/>
      <c r="E46" s="2"/>
      <c r="F46" s="2">
        <v>75</v>
      </c>
      <c r="G46" s="2" t="s">
        <v>843</v>
      </c>
      <c r="H46" s="2">
        <v>38</v>
      </c>
      <c r="I46" s="2"/>
      <c r="J46" t="s">
        <v>829</v>
      </c>
      <c r="L46" s="66"/>
      <c r="N46" s="66"/>
    </row>
    <row r="47" spans="1:20" ht="14.4" customHeight="1" x14ac:dyDescent="0.3">
      <c r="A47" t="s">
        <v>827</v>
      </c>
      <c r="B47" s="2" t="s">
        <v>23</v>
      </c>
      <c r="C47" s="2" t="s">
        <v>827</v>
      </c>
      <c r="D47" s="2"/>
      <c r="E47" s="2"/>
      <c r="F47" s="2">
        <v>100</v>
      </c>
      <c r="G47" s="2"/>
      <c r="H47" s="2"/>
      <c r="I47" s="2"/>
      <c r="J47" t="s">
        <v>570</v>
      </c>
      <c r="L47" s="66"/>
      <c r="N47" s="66"/>
    </row>
    <row r="48" spans="1:20" ht="14.4" customHeight="1" x14ac:dyDescent="0.3">
      <c r="A48" t="s">
        <v>828</v>
      </c>
      <c r="B48" s="2" t="s">
        <v>5</v>
      </c>
      <c r="C48" s="2" t="s">
        <v>827</v>
      </c>
      <c r="D48" s="2"/>
      <c r="E48" s="2"/>
      <c r="F48" s="2">
        <v>100</v>
      </c>
      <c r="G48" s="2"/>
      <c r="H48" s="2" t="s">
        <v>731</v>
      </c>
      <c r="I48" s="2"/>
      <c r="J48" t="s">
        <v>840</v>
      </c>
      <c r="L48" s="66"/>
      <c r="N48" s="66"/>
    </row>
    <row r="49" spans="1:14" ht="14.4" customHeight="1" x14ac:dyDescent="0.3">
      <c r="A49" t="s">
        <v>748</v>
      </c>
      <c r="B49" s="2" t="s">
        <v>233</v>
      </c>
      <c r="C49" s="2" t="s">
        <v>841</v>
      </c>
      <c r="D49" s="2"/>
      <c r="E49" s="2"/>
      <c r="F49" s="2">
        <v>50</v>
      </c>
      <c r="G49" s="2"/>
      <c r="H49" s="2" t="s">
        <v>739</v>
      </c>
      <c r="I49" s="2"/>
      <c r="J49" t="s">
        <v>833</v>
      </c>
      <c r="L49" s="66"/>
      <c r="N49" s="66"/>
    </row>
    <row r="50" spans="1:14" ht="14.4" customHeight="1" x14ac:dyDescent="0.3">
      <c r="A50" t="s">
        <v>827</v>
      </c>
      <c r="B50" s="2" t="s">
        <v>829</v>
      </c>
      <c r="C50" s="2" t="s">
        <v>827</v>
      </c>
      <c r="D50" s="2"/>
      <c r="E50" s="2"/>
      <c r="F50" s="2">
        <v>100</v>
      </c>
      <c r="G50" s="2"/>
      <c r="H50" s="2"/>
      <c r="I50" s="2"/>
      <c r="J50" t="s">
        <v>570</v>
      </c>
      <c r="L50" s="66"/>
      <c r="N50" s="66"/>
    </row>
    <row r="51" spans="1:14" ht="14.4" customHeight="1" x14ac:dyDescent="0.3">
      <c r="A51" t="s">
        <v>749</v>
      </c>
      <c r="B51" s="2" t="s">
        <v>3</v>
      </c>
      <c r="C51" s="2" t="s">
        <v>749</v>
      </c>
      <c r="D51" s="2" t="s">
        <v>847</v>
      </c>
      <c r="E51" s="2"/>
      <c r="F51" s="2">
        <v>25</v>
      </c>
      <c r="G51" s="2" t="s">
        <v>843</v>
      </c>
      <c r="H51" s="2"/>
      <c r="I51" s="2"/>
      <c r="J51" t="s">
        <v>7</v>
      </c>
      <c r="N51" s="66"/>
    </row>
    <row r="52" spans="1:14" ht="14.4" customHeight="1" x14ac:dyDescent="0.3">
      <c r="A52" t="s">
        <v>748</v>
      </c>
      <c r="B52" s="2" t="s">
        <v>733</v>
      </c>
      <c r="C52" s="2" t="s">
        <v>842</v>
      </c>
      <c r="D52" s="2" t="s">
        <v>734</v>
      </c>
      <c r="E52" s="2" t="s">
        <v>843</v>
      </c>
      <c r="F52" s="2">
        <v>75</v>
      </c>
      <c r="G52" s="2" t="s">
        <v>843</v>
      </c>
      <c r="H52" s="2" t="s">
        <v>734</v>
      </c>
      <c r="I52" s="2"/>
      <c r="J52" t="s">
        <v>844</v>
      </c>
      <c r="L52" s="66"/>
      <c r="N52" s="66"/>
    </row>
    <row r="53" spans="1:14" ht="14.4" customHeight="1" x14ac:dyDescent="0.3">
      <c r="A53" t="s">
        <v>750</v>
      </c>
      <c r="B53" s="2" t="s">
        <v>744</v>
      </c>
      <c r="C53" s="2" t="s">
        <v>841</v>
      </c>
      <c r="D53" s="2">
        <v>29</v>
      </c>
      <c r="E53" s="2">
        <v>25</v>
      </c>
      <c r="F53" s="2">
        <v>25</v>
      </c>
      <c r="G53" s="2" t="s">
        <v>843</v>
      </c>
      <c r="H53" s="2"/>
      <c r="I53" s="2">
        <v>29</v>
      </c>
      <c r="J53" t="s">
        <v>831</v>
      </c>
      <c r="N53" s="66"/>
    </row>
    <row r="54" spans="1:14" ht="14.4" customHeight="1" x14ac:dyDescent="0.3">
      <c r="A54" t="s">
        <v>750</v>
      </c>
      <c r="B54" s="2" t="s">
        <v>745</v>
      </c>
      <c r="C54" s="2" t="s">
        <v>841</v>
      </c>
      <c r="D54" s="2">
        <v>25</v>
      </c>
      <c r="E54" s="2"/>
      <c r="F54" s="2"/>
      <c r="G54" s="2"/>
      <c r="H54" s="2"/>
      <c r="I54" s="2">
        <v>25</v>
      </c>
      <c r="J54" t="s">
        <v>23</v>
      </c>
      <c r="N54" s="66"/>
    </row>
    <row r="55" spans="1:14" ht="14.4" customHeight="1" x14ac:dyDescent="0.3">
      <c r="A55" t="s">
        <v>827</v>
      </c>
      <c r="B55" s="2" t="s">
        <v>7</v>
      </c>
      <c r="C55" s="2" t="s">
        <v>827</v>
      </c>
      <c r="D55" s="2"/>
      <c r="E55" s="2"/>
      <c r="F55" s="2">
        <v>100</v>
      </c>
      <c r="G55" s="2"/>
      <c r="H55" s="2"/>
      <c r="I55" s="2"/>
      <c r="J55" t="s">
        <v>570</v>
      </c>
    </row>
    <row r="56" spans="1:14" ht="28.8" x14ac:dyDescent="0.3">
      <c r="A56" t="s">
        <v>748</v>
      </c>
      <c r="B56" s="2" t="s">
        <v>722</v>
      </c>
      <c r="C56" s="2" t="s">
        <v>748</v>
      </c>
      <c r="D56" s="2" t="s">
        <v>723</v>
      </c>
      <c r="E56" s="2">
        <v>35</v>
      </c>
      <c r="F56" s="70" t="s">
        <v>845</v>
      </c>
      <c r="G56" s="2" t="s">
        <v>843</v>
      </c>
      <c r="H56" s="2" t="s">
        <v>723</v>
      </c>
      <c r="I56" s="2">
        <v>35</v>
      </c>
      <c r="J56" t="s">
        <v>832</v>
      </c>
      <c r="L56" s="66"/>
    </row>
    <row r="57" spans="1:14" ht="14.4" customHeight="1" x14ac:dyDescent="0.3">
      <c r="A57" t="s">
        <v>750</v>
      </c>
      <c r="B57" s="2" t="s">
        <v>746</v>
      </c>
      <c r="C57" s="2" t="s">
        <v>841</v>
      </c>
      <c r="D57" s="2">
        <v>22</v>
      </c>
      <c r="E57" s="2">
        <v>25</v>
      </c>
      <c r="F57" s="2">
        <v>50</v>
      </c>
      <c r="G57" s="2">
        <v>12.5</v>
      </c>
      <c r="H57" s="2"/>
      <c r="I57" s="2">
        <v>22</v>
      </c>
      <c r="J57" t="s">
        <v>7</v>
      </c>
    </row>
    <row r="58" spans="1:14" ht="14.4" customHeight="1" x14ac:dyDescent="0.3">
      <c r="A58" t="s">
        <v>750</v>
      </c>
      <c r="B58" s="2" t="s">
        <v>8</v>
      </c>
      <c r="C58" s="2" t="s">
        <v>839</v>
      </c>
      <c r="D58" s="2" t="s">
        <v>725</v>
      </c>
      <c r="E58" s="2">
        <v>30</v>
      </c>
      <c r="F58" s="2">
        <v>100</v>
      </c>
      <c r="G58" s="2">
        <v>30</v>
      </c>
      <c r="H58" s="2" t="s">
        <v>725</v>
      </c>
      <c r="I58" s="2">
        <v>30</v>
      </c>
      <c r="J58" t="s">
        <v>570</v>
      </c>
      <c r="L58" s="66"/>
      <c r="N58" s="66"/>
    </row>
    <row r="59" spans="1:14" ht="14.4" customHeight="1" x14ac:dyDescent="0.3">
      <c r="A59" t="s">
        <v>748</v>
      </c>
      <c r="B59" s="2" t="s">
        <v>728</v>
      </c>
      <c r="C59" s="2" t="s">
        <v>748</v>
      </c>
      <c r="D59" s="2" t="s">
        <v>729</v>
      </c>
      <c r="E59" s="2"/>
      <c r="F59" s="2">
        <v>75</v>
      </c>
      <c r="G59" s="2"/>
      <c r="H59" s="2" t="s">
        <v>729</v>
      </c>
      <c r="I59" s="2"/>
      <c r="J59" t="s">
        <v>8</v>
      </c>
      <c r="L59" s="66"/>
      <c r="N59" s="66"/>
    </row>
    <row r="60" spans="1:14" ht="14.4" customHeight="1" x14ac:dyDescent="0.3">
      <c r="A60" t="s">
        <v>748</v>
      </c>
      <c r="B60" s="2" t="s">
        <v>6</v>
      </c>
      <c r="C60" s="2" t="s">
        <v>748</v>
      </c>
      <c r="D60" s="2" t="s">
        <v>725</v>
      </c>
      <c r="E60" s="2"/>
      <c r="F60" s="2">
        <v>50</v>
      </c>
      <c r="G60" s="2"/>
      <c r="H60" s="2" t="s">
        <v>725</v>
      </c>
      <c r="I60" s="2"/>
      <c r="J60" t="s">
        <v>829</v>
      </c>
      <c r="L60" s="66"/>
    </row>
    <row r="61" spans="1:14" ht="14.4" customHeight="1" x14ac:dyDescent="0.3">
      <c r="A61" t="s">
        <v>750</v>
      </c>
      <c r="B61" s="2" t="s">
        <v>743</v>
      </c>
      <c r="C61" s="2" t="s">
        <v>841</v>
      </c>
      <c r="D61" s="2">
        <v>32</v>
      </c>
      <c r="E61" s="2"/>
      <c r="F61" s="2">
        <v>20</v>
      </c>
      <c r="G61" s="2">
        <v>75</v>
      </c>
      <c r="H61" s="2">
        <v>15</v>
      </c>
      <c r="I61" s="2">
        <v>32</v>
      </c>
      <c r="J61" t="s">
        <v>8</v>
      </c>
    </row>
    <row r="62" spans="1:14" ht="14.4" customHeight="1" x14ac:dyDescent="0.3">
      <c r="A62" t="s">
        <v>748</v>
      </c>
      <c r="B62" s="2" t="s">
        <v>250</v>
      </c>
      <c r="C62" s="2" t="s">
        <v>841</v>
      </c>
      <c r="D62" s="2"/>
      <c r="E62" s="2"/>
      <c r="F62" s="2">
        <v>25</v>
      </c>
      <c r="G62" s="2"/>
      <c r="H62" s="2"/>
      <c r="I62" s="2"/>
      <c r="J62" t="s">
        <v>7</v>
      </c>
      <c r="N62" s="66"/>
    </row>
    <row r="63" spans="1:14" ht="14.4" customHeight="1" x14ac:dyDescent="0.3">
      <c r="A63" t="s">
        <v>846</v>
      </c>
      <c r="B63" s="2" t="s">
        <v>4</v>
      </c>
      <c r="C63" s="2" t="s">
        <v>841</v>
      </c>
      <c r="D63" s="2" t="s">
        <v>737</v>
      </c>
      <c r="E63" s="2"/>
      <c r="F63" s="2">
        <v>75</v>
      </c>
      <c r="G63" s="2"/>
      <c r="H63" s="2" t="s">
        <v>737</v>
      </c>
      <c r="I63" s="2"/>
      <c r="J63" t="s">
        <v>5</v>
      </c>
      <c r="L63" s="66"/>
    </row>
    <row r="64" spans="1:14" ht="14.4" customHeight="1" x14ac:dyDescent="0.3">
      <c r="A64" t="s">
        <v>747</v>
      </c>
      <c r="B64" s="2" t="s">
        <v>2</v>
      </c>
      <c r="C64" s="2" t="s">
        <v>838</v>
      </c>
      <c r="D64" s="2" t="s">
        <v>720</v>
      </c>
      <c r="E64" s="2">
        <v>45</v>
      </c>
      <c r="F64" s="2">
        <v>75</v>
      </c>
      <c r="G64" s="2">
        <v>33.75</v>
      </c>
      <c r="H64" s="2" t="s">
        <v>720</v>
      </c>
      <c r="I64" s="2">
        <v>45</v>
      </c>
      <c r="J64" t="s">
        <v>829</v>
      </c>
      <c r="L64" s="66"/>
    </row>
    <row r="65" spans="1:14" ht="14.4" customHeight="1" x14ac:dyDescent="0.3">
      <c r="A65" t="s">
        <v>749</v>
      </c>
      <c r="B65" s="2" t="s">
        <v>10</v>
      </c>
      <c r="C65" s="2" t="s">
        <v>749</v>
      </c>
      <c r="D65" s="2" t="s">
        <v>736</v>
      </c>
      <c r="E65" s="2">
        <v>18</v>
      </c>
      <c r="F65" s="2">
        <v>75</v>
      </c>
      <c r="G65" s="2">
        <v>13.5</v>
      </c>
      <c r="H65" s="2" t="s">
        <v>736</v>
      </c>
      <c r="I65" s="2">
        <v>18</v>
      </c>
      <c r="J65" t="s">
        <v>834</v>
      </c>
      <c r="L65" s="66"/>
      <c r="N65" s="66"/>
    </row>
    <row r="66" spans="1:14" ht="14.4" customHeight="1" x14ac:dyDescent="0.3">
      <c r="B66" s="2"/>
      <c r="C66" s="69"/>
      <c r="D66" s="69"/>
      <c r="E66" s="69"/>
      <c r="F66" s="68"/>
      <c r="G66" s="2"/>
      <c r="H66" s="2"/>
      <c r="I66" s="2"/>
    </row>
  </sheetData>
  <sortState xmlns:xlrd2="http://schemas.microsoft.com/office/spreadsheetml/2017/richdata2" ref="A46:L65">
    <sortCondition ref="B46:B65"/>
  </sortState>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Taxonomy</vt:lpstr>
      <vt:lpstr>Jobins Values</vt:lpstr>
      <vt:lpstr>Value Categories</vt:lpstr>
      <vt:lpstr>171 Docs</vt:lpstr>
      <vt:lpstr>Resources</vt:lpstr>
      <vt:lpstr>Stat Plan</vt:lpstr>
      <vt:lpstr>ESF</vt:lpstr>
      <vt:lpstr>AGI Issues</vt:lpstr>
      <vt:lpstr>Stats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2024-12-24T05:41:56Z</dcterms:created>
  <dcterms:modified xsi:type="dcterms:W3CDTF">2025-03-21T07:30:43Z</dcterms:modified>
  <cp:category/>
  <cp:contentStatus/>
</cp:coreProperties>
</file>